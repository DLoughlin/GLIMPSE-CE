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wanokeefe/Documents/CGS/ IRA/IRA_EV_tax-credit/"/>
    </mc:Choice>
  </mc:AlternateContent>
  <xr:revisionPtr revIDLastSave="0" documentId="13_ncr:1_{7D8C6999-3B1B-814D-93DD-49A656BA1D20}" xr6:coauthVersionLast="47" xr6:coauthVersionMax="47" xr10:uidLastSave="{00000000-0000-0000-0000-000000000000}"/>
  <bookViews>
    <workbookView xWindow="0" yWindow="500" windowWidth="26940" windowHeight="17500" xr2:uid="{FC36E7FC-C55D-463A-B5D3-CBF0FFC1F70B}"/>
  </bookViews>
  <sheets>
    <sheet name="Summary" sheetId="4" r:id="rId1"/>
    <sheet name="30D EV high - GCAM math" sheetId="1" r:id="rId2"/>
    <sheet name="30D EV medium - GCAM mat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D26" i="4"/>
  <c r="D25" i="4"/>
  <c r="B6" i="2" l="1"/>
  <c r="B5" i="2"/>
  <c r="B6" i="1"/>
  <c r="B5" i="1"/>
  <c r="D27" i="4" l="1"/>
  <c r="D28" i="4" s="1"/>
  <c r="D29" i="4" s="1"/>
  <c r="D5" i="4" s="1"/>
  <c r="D6" i="4" l="1"/>
  <c r="B8" i="1"/>
  <c r="B9" i="1" s="1"/>
  <c r="B14" i="1" s="1"/>
  <c r="C5" i="4"/>
  <c r="B10" i="1" s="1"/>
  <c r="B11" i="1" l="1"/>
  <c r="B13" i="1" s="1"/>
  <c r="C6" i="4"/>
  <c r="B10" i="2" s="1"/>
  <c r="B8" i="2"/>
  <c r="B9" i="2" s="1"/>
  <c r="B14" i="2" l="1"/>
  <c r="B11" i="2"/>
  <c r="B13" i="2" s="1"/>
</calcChain>
</file>

<file path=xl/sharedStrings.xml><?xml version="1.0" encoding="utf-8"?>
<sst xmlns="http://schemas.openxmlformats.org/spreadsheetml/2006/main" count="98" uniqueCount="63">
  <si>
    <t>From gcamdata:  energy.DISCOUNT_RATE_VEH + energy.DISCOUNT_RATE_VEH / (((1 + energy.DISCOUNT_RATE_VEH) ^ energy.NPER_AMORT_VEH) - 1)</t>
  </si>
  <si>
    <t>2025 subsidy (2021 USD / vehicle)</t>
  </si>
  <si>
    <t>2030 subsidy (1990 USD / vkt)</t>
  </si>
  <si>
    <t>fcr (10 years)</t>
  </si>
  <si>
    <t>2025 subsidy (1990 USD / vkt)</t>
  </si>
  <si>
    <t>2030 subsidy (2021 USD / vehicle)</t>
  </si>
  <si>
    <t>Measure</t>
  </si>
  <si>
    <t>Value</t>
  </si>
  <si>
    <t>Notes</t>
  </si>
  <si>
    <t>IRA EV tax-credit</t>
  </si>
  <si>
    <t xml:space="preserve">From St. Louis Federal Reserve Bank: https://fred.stlouisfed.org/series/A191RD3A086NBEA </t>
  </si>
  <si>
    <t xml:space="preserve">From gcamdata </t>
  </si>
  <si>
    <t>S_vkt = S_veh + (fcr / (v*g)), where S_vkt = dollar per vehicle-km traveled subsidy, S_veh = dollar per vehicle subsidy, fcr = fixed charge rate, v = average vkt per year, and g = GDP deflator</t>
  </si>
  <si>
    <t>GDP deflator (2021, 1990)</t>
  </si>
  <si>
    <t>Assume that the input calculated for 2030 is scaled downward according to the ratio of the size of the tax-credit in 2025 to the size of the tax-credit in 2030</t>
  </si>
  <si>
    <t>This will the same in for all states and DC in GCAM-USA, and the value of the tax-credit will be the same in GCAM-global</t>
  </si>
  <si>
    <t>Units</t>
  </si>
  <si>
    <t>N/A</t>
  </si>
  <si>
    <t>vkt/veh/yr</t>
  </si>
  <si>
    <t>2021 USD / vehicle</t>
  </si>
  <si>
    <t>1990 USD / vkt</t>
  </si>
  <si>
    <t>Average vehicle-km per year for LDVs</t>
  </si>
  <si>
    <t>Effective Value of Tax Credit</t>
  </si>
  <si>
    <t>Explicitly noted</t>
  </si>
  <si>
    <t xml:space="preserve">https://taxfoundation.org/publications/latest-federal-income-tax-data/#:~:text=Taxpayers%20reported%20nearly%20%2411.9%20trillion,2.8%20percent)%20above%202018%20levels. </t>
  </si>
  <si>
    <t>Percentile</t>
  </si>
  <si>
    <t>Income cut-off</t>
  </si>
  <si>
    <t>89% of buyers qualify</t>
  </si>
  <si>
    <t>Adjusted Gross Income (AGI) brackets from 2019</t>
  </si>
  <si>
    <t>However, not all buyers will meet the AGI limits</t>
  </si>
  <si>
    <t>For simplicity, assume those with AGI below 150K only buy EV at qualifying price and those with AGI above 150K only buy EV at above qualifying price.</t>
  </si>
  <si>
    <t>90% income cutoff minus 75% income cutoff</t>
  </si>
  <si>
    <t>90% income cutoff minus 150,000</t>
  </si>
  <si>
    <t>% toward 75% cutoff that 150,000 is from 90% cutoff</t>
  </si>
  <si>
    <t>above, expressed as percentage point</t>
  </si>
  <si>
    <t>30D LDV Princeton</t>
  </si>
  <si>
    <t>30D LDV Energy Innovation High</t>
  </si>
  <si>
    <t>30D LDV Energy Innovation Low</t>
  </si>
  <si>
    <t>* for now, I remove the tax credit after 2032</t>
  </si>
  <si>
    <t>Calculations to figure out % of people filing below 150K</t>
  </si>
  <si>
    <t>IRA 30D clean vehicle tax-credit</t>
  </si>
  <si>
    <t>This tax-credit is for personal vehicles</t>
  </si>
  <si>
    <t>MSRP cap: $55,000 for cars and $80,000 for SUVs, vans, and trucks</t>
  </si>
  <si>
    <t>Income eligibility limit: AGI less than $150,000 (single) and $300,000 (household)</t>
  </si>
  <si>
    <t>2035 &amp; beyond</t>
  </si>
  <si>
    <t>30D LDV Energy Innovation Medium</t>
  </si>
  <si>
    <t>Assumed</t>
  </si>
  <si>
    <t>30D EV high (our value)</t>
  </si>
  <si>
    <t>30D EV medium (our value)</t>
  </si>
  <si>
    <t>30D EV Low (our value)</t>
  </si>
  <si>
    <t>IRA 30D EV tax-credit (high)</t>
  </si>
  <si>
    <t>Implemented as an add-on file that represents a subsidy (i.e., negative cost) called "IRA_30D_EV_tax-credit_high"</t>
  </si>
  <si>
    <t>GCAM Input for "IRA_30D_EV_tax-credit_high" in 2025</t>
  </si>
  <si>
    <t>GCAM Input for "IRA_30D_EV_tax-credit_high" in 2030</t>
  </si>
  <si>
    <t>We assume half of effective 2030 tax-credit is achievable in 2025</t>
  </si>
  <si>
    <t>We assume that the maximum value of the tax-credit in 2030 is half of what it is in the "high" case, and is downwardly adjusted to reflect the percentage of tax-paying individuals with adjusted gross income below 150K</t>
  </si>
  <si>
    <t>We assume that the maximum value of the tax-credit is downwardly adjusted to reflect the percentage of tax-paying individuals with adjusted gross income below 150K</t>
  </si>
  <si>
    <t>No input file created for the low scenario because the value of the tax-credit is $0</t>
  </si>
  <si>
    <t>Implemented as an add-on file that represents a subsidy (i.e., negative cost) called "IRA_30D_EV_tax-credit_medium"</t>
  </si>
  <si>
    <t>GCAM Input for "IRA_30D_EV_tax-credit_medium" in 2025</t>
  </si>
  <si>
    <t>GCAM Input for "IRA_30D_EV_tax-credit_medium" in 2030</t>
  </si>
  <si>
    <t>"$3,750 credit for meeting increasingly stringent domestic battery assembly requirements" (quote from Energy Innovation)</t>
  </si>
  <si>
    <t>"$3,750 credit for meeting increasingly stringent critical mineral requirements" (quote from Energy Innovation)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</si>
</sst>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64" fontId="0" fillId="0" borderId="1" xfId="2" applyNumberFormat="1" applyFont="1" applyBorder="1" applyAlignment="1">
      <alignment horizontal="right" vertical="center" wrapText="1"/>
    </xf>
    <xf numFmtId="165" fontId="0" fillId="0" borderId="1" xfId="2" applyNumberFormat="1" applyFont="1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165" fontId="0" fillId="2" borderId="1" xfId="0" applyNumberFormat="1" applyFill="1" applyBorder="1" applyAlignment="1">
      <alignment horizontal="right" vertical="center" wrapText="1"/>
    </xf>
    <xf numFmtId="0" fontId="6" fillId="0" borderId="0" xfId="0" applyFont="1"/>
    <xf numFmtId="0" fontId="0" fillId="3" borderId="0" xfId="0" applyFill="1"/>
    <xf numFmtId="0" fontId="0" fillId="4" borderId="0" xfId="0" applyFill="1"/>
    <xf numFmtId="0" fontId="0" fillId="0" borderId="1" xfId="0" applyBorder="1"/>
    <xf numFmtId="3" fontId="4" fillId="0" borderId="0" xfId="0" applyNumberFormat="1" applyFont="1"/>
    <xf numFmtId="3" fontId="0" fillId="0" borderId="1" xfId="0" applyNumberFormat="1" applyBorder="1"/>
    <xf numFmtId="0" fontId="0" fillId="0" borderId="0" xfId="0" applyAlignment="1">
      <alignment horizontal="left" wrapText="1"/>
    </xf>
    <xf numFmtId="6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 applyBorder="1"/>
    <xf numFmtId="164" fontId="0" fillId="3" borderId="1" xfId="2" applyNumberFormat="1" applyFont="1" applyFill="1" applyBorder="1"/>
    <xf numFmtId="164" fontId="0" fillId="4" borderId="1" xfId="2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44" fontId="3" fillId="0" borderId="1" xfId="2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xfoundation.org/publications/latest-federal-income-tax-dat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2C0D-A4AB-CA46-8FC9-BE3244552DF4}">
  <dimension ref="A1:F34"/>
  <sheetViews>
    <sheetView tabSelected="1" zoomScale="158" workbookViewId="0"/>
  </sheetViews>
  <sheetFormatPr baseColWidth="10" defaultRowHeight="15" x14ac:dyDescent="0.2"/>
  <cols>
    <col min="1" max="1" width="13.83203125" customWidth="1"/>
    <col min="2" max="2" width="13.1640625" customWidth="1"/>
    <col min="4" max="4" width="10.83203125" customWidth="1"/>
    <col min="5" max="5" width="12" customWidth="1"/>
    <col min="6" max="6" width="40" customWidth="1"/>
    <col min="9" max="9" width="12.1640625" customWidth="1"/>
    <col min="10" max="10" width="4.6640625" customWidth="1"/>
    <col min="11" max="11" width="11" customWidth="1"/>
    <col min="12" max="12" width="40.33203125" customWidth="1"/>
  </cols>
  <sheetData>
    <row r="1" spans="1:6" x14ac:dyDescent="0.2">
      <c r="A1" t="s">
        <v>40</v>
      </c>
    </row>
    <row r="3" spans="1:6" x14ac:dyDescent="0.2">
      <c r="A3" s="31" t="s">
        <v>22</v>
      </c>
      <c r="B3" s="31"/>
      <c r="C3" s="31"/>
      <c r="D3" s="31"/>
      <c r="E3" s="31"/>
    </row>
    <row r="4" spans="1:6" x14ac:dyDescent="0.2">
      <c r="A4" s="30"/>
      <c r="B4" s="30"/>
      <c r="C4" s="11">
        <v>2025</v>
      </c>
      <c r="D4" s="11">
        <v>2030</v>
      </c>
      <c r="E4" s="11" t="s">
        <v>44</v>
      </c>
    </row>
    <row r="5" spans="1:6" x14ac:dyDescent="0.2">
      <c r="A5" s="32" t="s">
        <v>47</v>
      </c>
      <c r="B5" s="33"/>
      <c r="C5" s="28">
        <f>D5/2</f>
        <v>3336.2834098272137</v>
      </c>
      <c r="D5" s="28">
        <f>D8*(D29/100)</f>
        <v>6672.5668196544275</v>
      </c>
      <c r="E5" s="28">
        <v>0</v>
      </c>
    </row>
    <row r="6" spans="1:6" x14ac:dyDescent="0.2">
      <c r="A6" s="32" t="s">
        <v>48</v>
      </c>
      <c r="B6" s="33"/>
      <c r="C6" s="28">
        <f>D6/2</f>
        <v>1668.1417049136069</v>
      </c>
      <c r="D6" s="28">
        <f>D5/2</f>
        <v>3336.2834098272137</v>
      </c>
      <c r="E6" s="28">
        <v>0</v>
      </c>
    </row>
    <row r="7" spans="1:6" x14ac:dyDescent="0.2">
      <c r="A7" s="32" t="s">
        <v>49</v>
      </c>
      <c r="B7" s="33"/>
      <c r="C7" s="28">
        <v>0</v>
      </c>
      <c r="D7" s="28">
        <v>0</v>
      </c>
      <c r="E7" s="28">
        <v>0</v>
      </c>
      <c r="F7" t="s">
        <v>57</v>
      </c>
    </row>
    <row r="8" spans="1:6" x14ac:dyDescent="0.2">
      <c r="A8" s="29" t="s">
        <v>35</v>
      </c>
      <c r="B8" s="29"/>
      <c r="C8" s="24">
        <v>5000</v>
      </c>
      <c r="D8" s="24">
        <v>7500</v>
      </c>
      <c r="E8" s="24">
        <v>0</v>
      </c>
    </row>
    <row r="9" spans="1:6" x14ac:dyDescent="0.2">
      <c r="A9" s="29" t="s">
        <v>36</v>
      </c>
      <c r="B9" s="29"/>
      <c r="C9" s="25">
        <f>D9/2</f>
        <v>3750</v>
      </c>
      <c r="D9" s="24">
        <v>7500</v>
      </c>
      <c r="E9" s="24">
        <v>0</v>
      </c>
    </row>
    <row r="10" spans="1:6" x14ac:dyDescent="0.2">
      <c r="A10" s="29" t="s">
        <v>45</v>
      </c>
      <c r="B10" s="29"/>
      <c r="C10" s="25">
        <f>D10/2</f>
        <v>1875</v>
      </c>
      <c r="D10" s="25">
        <v>3750</v>
      </c>
      <c r="E10" s="24">
        <v>0</v>
      </c>
    </row>
    <row r="11" spans="1:6" x14ac:dyDescent="0.2">
      <c r="A11" s="29" t="s">
        <v>37</v>
      </c>
      <c r="B11" s="29"/>
      <c r="C11" s="25">
        <v>0</v>
      </c>
      <c r="D11" s="24">
        <v>0</v>
      </c>
      <c r="E11" s="24">
        <v>0</v>
      </c>
    </row>
    <row r="12" spans="1:6" x14ac:dyDescent="0.2">
      <c r="A12" s="22"/>
      <c r="B12" s="22"/>
      <c r="E12" s="23"/>
    </row>
    <row r="13" spans="1:6" x14ac:dyDescent="0.2">
      <c r="C13" s="16" t="s">
        <v>46</v>
      </c>
      <c r="D13" s="15" t="s">
        <v>23</v>
      </c>
    </row>
    <row r="15" spans="1:6" x14ac:dyDescent="0.2">
      <c r="A15" t="s">
        <v>41</v>
      </c>
    </row>
    <row r="16" spans="1:6" x14ac:dyDescent="0.2">
      <c r="A16" t="s">
        <v>61</v>
      </c>
    </row>
    <row r="17" spans="1:5" x14ac:dyDescent="0.2">
      <c r="A17" s="21" t="s">
        <v>62</v>
      </c>
    </row>
    <row r="18" spans="1:5" x14ac:dyDescent="0.2">
      <c r="A18" t="s">
        <v>42</v>
      </c>
    </row>
    <row r="19" spans="1:5" x14ac:dyDescent="0.2">
      <c r="A19" t="s">
        <v>43</v>
      </c>
    </row>
    <row r="21" spans="1:5" x14ac:dyDescent="0.2">
      <c r="A21" t="s">
        <v>29</v>
      </c>
    </row>
    <row r="22" spans="1:5" x14ac:dyDescent="0.2">
      <c r="A22" s="2" t="s">
        <v>24</v>
      </c>
    </row>
    <row r="23" spans="1:5" x14ac:dyDescent="0.2">
      <c r="A23" s="18" t="s">
        <v>28</v>
      </c>
    </row>
    <row r="24" spans="1:5" x14ac:dyDescent="0.2">
      <c r="A24" s="11" t="s">
        <v>25</v>
      </c>
      <c r="B24" s="11" t="s">
        <v>26</v>
      </c>
      <c r="D24" s="26" t="s">
        <v>39</v>
      </c>
      <c r="E24" s="27"/>
    </row>
    <row r="25" spans="1:5" x14ac:dyDescent="0.2">
      <c r="A25" s="19">
        <v>50</v>
      </c>
      <c r="B25" s="19">
        <v>44269</v>
      </c>
      <c r="D25" s="17">
        <f>B27-B26</f>
        <v>66672</v>
      </c>
      <c r="E25" s="17" t="s">
        <v>31</v>
      </c>
    </row>
    <row r="26" spans="1:5" x14ac:dyDescent="0.2">
      <c r="A26" s="17">
        <v>75</v>
      </c>
      <c r="B26" s="17">
        <v>87917</v>
      </c>
      <c r="D26" s="17">
        <f>B27-150000</f>
        <v>4589</v>
      </c>
      <c r="E26" s="17" t="s">
        <v>32</v>
      </c>
    </row>
    <row r="27" spans="1:5" x14ac:dyDescent="0.2">
      <c r="A27" s="17">
        <v>90</v>
      </c>
      <c r="B27" s="17">
        <v>154589</v>
      </c>
      <c r="D27" s="17">
        <f>D26/D25</f>
        <v>6.8829493640508763E-2</v>
      </c>
      <c r="E27" s="17" t="s">
        <v>33</v>
      </c>
    </row>
    <row r="28" spans="1:5" x14ac:dyDescent="0.2">
      <c r="A28" s="17">
        <v>95</v>
      </c>
      <c r="B28" s="17">
        <v>221572</v>
      </c>
      <c r="D28" s="17">
        <f>(A27-A26)*D27</f>
        <v>1.0324424046076315</v>
      </c>
      <c r="E28" s="17" t="s">
        <v>34</v>
      </c>
    </row>
    <row r="29" spans="1:5" x14ac:dyDescent="0.2">
      <c r="A29" s="17">
        <v>99</v>
      </c>
      <c r="B29" s="17">
        <v>546434</v>
      </c>
      <c r="D29" s="17">
        <f>A27-D28</f>
        <v>88.967557595392364</v>
      </c>
      <c r="E29" s="17" t="s">
        <v>27</v>
      </c>
    </row>
    <row r="31" spans="1:5" ht="15" customHeight="1" x14ac:dyDescent="0.2">
      <c r="A31" s="22" t="s">
        <v>30</v>
      </c>
      <c r="B31" s="20"/>
      <c r="C31" s="20"/>
    </row>
    <row r="32" spans="1:5" x14ac:dyDescent="0.2">
      <c r="A32" s="20"/>
      <c r="B32" s="20"/>
      <c r="C32" s="20"/>
    </row>
    <row r="33" spans="1:3" x14ac:dyDescent="0.2">
      <c r="A33" s="20"/>
      <c r="B33" s="20"/>
      <c r="C33" s="20"/>
    </row>
    <row r="34" spans="1:3" x14ac:dyDescent="0.2">
      <c r="A34" s="20"/>
      <c r="B34" s="20"/>
      <c r="C34" s="20"/>
    </row>
  </sheetData>
  <mergeCells count="9">
    <mergeCell ref="A3:E3"/>
    <mergeCell ref="A5:B5"/>
    <mergeCell ref="A6:B6"/>
    <mergeCell ref="A7:B7"/>
    <mergeCell ref="A8:B8"/>
    <mergeCell ref="A9:B9"/>
    <mergeCell ref="A10:B10"/>
    <mergeCell ref="A11:B11"/>
    <mergeCell ref="A4:B4"/>
  </mergeCells>
  <hyperlinks>
    <hyperlink ref="A22" r:id="rId1" location=":~:text=Taxpayers%20reported%20nearly%20%2411.9%20trillion,2.8%20percent)%20above%202018%20levels. " xr:uid="{EAABC100-F557-5D4F-A1C5-5CE9ACD167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5AF1-4F9C-46CD-8B80-6116C0607E0B}">
  <dimension ref="A1:D22"/>
  <sheetViews>
    <sheetView zoomScaleNormal="100" workbookViewId="0"/>
  </sheetViews>
  <sheetFormatPr baseColWidth="10" defaultColWidth="8.83203125" defaultRowHeight="15" x14ac:dyDescent="0.2"/>
  <cols>
    <col min="1" max="1" width="41.1640625" customWidth="1"/>
    <col min="2" max="3" width="10.83203125" customWidth="1"/>
    <col min="4" max="4" width="78.83203125" customWidth="1"/>
  </cols>
  <sheetData>
    <row r="1" spans="1:4" x14ac:dyDescent="0.2">
      <c r="A1" s="3" t="s">
        <v>50</v>
      </c>
    </row>
    <row r="2" spans="1:4" x14ac:dyDescent="0.2">
      <c r="A2" s="14" t="s">
        <v>51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16</v>
      </c>
      <c r="D4" s="11" t="s">
        <v>8</v>
      </c>
    </row>
    <row r="5" spans="1:4" s="4" customFormat="1" ht="32" customHeight="1" x14ac:dyDescent="0.2">
      <c r="A5" s="6" t="s">
        <v>3</v>
      </c>
      <c r="B5" s="7">
        <f>0.1+(0.1)/(((1+0.1)^10)-1)</f>
        <v>0.16274539488251155</v>
      </c>
      <c r="C5" s="7" t="s">
        <v>17</v>
      </c>
      <c r="D5" s="6" t="s">
        <v>0</v>
      </c>
    </row>
    <row r="6" spans="1:4" s="4" customFormat="1" ht="32" customHeight="1" x14ac:dyDescent="0.2">
      <c r="A6" s="6" t="s">
        <v>13</v>
      </c>
      <c r="B6" s="7">
        <f xml:space="preserve"> 118.37 / 63.631</f>
        <v>1.8602567930725591</v>
      </c>
      <c r="C6" s="7" t="s">
        <v>17</v>
      </c>
      <c r="D6" s="6" t="s">
        <v>10</v>
      </c>
    </row>
    <row r="7" spans="1:4" s="4" customFormat="1" ht="32" customHeight="1" x14ac:dyDescent="0.2">
      <c r="A7" s="6" t="s">
        <v>21</v>
      </c>
      <c r="B7" s="8">
        <v>19204</v>
      </c>
      <c r="C7" s="8" t="s">
        <v>18</v>
      </c>
      <c r="D7" s="6" t="s">
        <v>11</v>
      </c>
    </row>
    <row r="8" spans="1:4" s="4" customFormat="1" ht="32" customHeight="1" x14ac:dyDescent="0.2">
      <c r="A8" s="6" t="s">
        <v>5</v>
      </c>
      <c r="B8" s="9">
        <f>Summary!D5</f>
        <v>6672.5668196544275</v>
      </c>
      <c r="C8" s="9" t="s">
        <v>19</v>
      </c>
      <c r="D8" s="6" t="s">
        <v>56</v>
      </c>
    </row>
    <row r="9" spans="1:4" s="4" customFormat="1" ht="32" customHeight="1" x14ac:dyDescent="0.2">
      <c r="A9" s="6" t="s">
        <v>2</v>
      </c>
      <c r="B9" s="10">
        <f>B8*B5/B7/B6</f>
        <v>3.0397442354944099E-2</v>
      </c>
      <c r="C9" s="10" t="s">
        <v>20</v>
      </c>
      <c r="D9" s="6" t="s">
        <v>12</v>
      </c>
    </row>
    <row r="10" spans="1:4" s="4" customFormat="1" ht="32" customHeight="1" x14ac:dyDescent="0.2">
      <c r="A10" s="6" t="s">
        <v>1</v>
      </c>
      <c r="B10" s="9">
        <f>Summary!C5</f>
        <v>3336.2834098272137</v>
      </c>
      <c r="C10" s="9" t="s">
        <v>19</v>
      </c>
      <c r="D10" s="6" t="s">
        <v>54</v>
      </c>
    </row>
    <row r="11" spans="1:4" s="4" customFormat="1" ht="32" customHeight="1" x14ac:dyDescent="0.2">
      <c r="A11" s="6" t="s">
        <v>4</v>
      </c>
      <c r="B11" s="10">
        <f>B9/B8*B10</f>
        <v>1.5198721177472051E-2</v>
      </c>
      <c r="C11" s="10" t="s">
        <v>20</v>
      </c>
      <c r="D11" s="6" t="s">
        <v>14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52</v>
      </c>
      <c r="B13" s="13">
        <f>-B11</f>
        <v>-1.5198721177472051E-2</v>
      </c>
      <c r="C13" s="10" t="s">
        <v>20</v>
      </c>
      <c r="D13" s="12" t="s">
        <v>15</v>
      </c>
    </row>
    <row r="14" spans="1:4" s="4" customFormat="1" ht="32" customHeight="1" x14ac:dyDescent="0.2">
      <c r="A14" s="6" t="s">
        <v>53</v>
      </c>
      <c r="B14" s="13">
        <f>-B9</f>
        <v>-3.0397442354944099E-2</v>
      </c>
      <c r="C14" s="10" t="s">
        <v>20</v>
      </c>
      <c r="D14" s="12" t="s">
        <v>15</v>
      </c>
    </row>
    <row r="15" spans="1:4" s="4" customFormat="1" x14ac:dyDescent="0.2"/>
    <row r="16" spans="1:4" s="4" customFormat="1" ht="16" x14ac:dyDescent="0.2">
      <c r="A16" s="4" t="s">
        <v>38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EB34-B0A4-8040-BBE9-B1DD9913E606}">
  <dimension ref="A1:D22"/>
  <sheetViews>
    <sheetView topLeftCell="A7" zoomScaleNormal="100" workbookViewId="0">
      <selection activeCell="A15" sqref="A15"/>
    </sheetView>
  </sheetViews>
  <sheetFormatPr baseColWidth="10" defaultColWidth="8.83203125" defaultRowHeight="15" x14ac:dyDescent="0.2"/>
  <cols>
    <col min="1" max="1" width="47.5" customWidth="1"/>
    <col min="2" max="3" width="10.83203125" customWidth="1"/>
    <col min="4" max="4" width="85.83203125" customWidth="1"/>
  </cols>
  <sheetData>
    <row r="1" spans="1:4" x14ac:dyDescent="0.2">
      <c r="A1" s="3" t="s">
        <v>9</v>
      </c>
    </row>
    <row r="2" spans="1:4" x14ac:dyDescent="0.2">
      <c r="A2" s="14" t="s">
        <v>58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16</v>
      </c>
      <c r="D4" s="11" t="s">
        <v>8</v>
      </c>
    </row>
    <row r="5" spans="1:4" s="4" customFormat="1" ht="32" customHeight="1" x14ac:dyDescent="0.2">
      <c r="A5" s="6" t="s">
        <v>3</v>
      </c>
      <c r="B5" s="7">
        <f>0.1+(0.1)/(((1+0.1)^10)-1)</f>
        <v>0.16274539488251155</v>
      </c>
      <c r="C5" s="7" t="s">
        <v>17</v>
      </c>
      <c r="D5" s="6" t="s">
        <v>0</v>
      </c>
    </row>
    <row r="6" spans="1:4" s="4" customFormat="1" ht="32" customHeight="1" x14ac:dyDescent="0.2">
      <c r="A6" s="6" t="s">
        <v>13</v>
      </c>
      <c r="B6" s="7">
        <f xml:space="preserve"> 118.37 / 63.631</f>
        <v>1.8602567930725591</v>
      </c>
      <c r="C6" s="7" t="s">
        <v>17</v>
      </c>
      <c r="D6" s="6" t="s">
        <v>10</v>
      </c>
    </row>
    <row r="7" spans="1:4" s="4" customFormat="1" ht="32" customHeight="1" x14ac:dyDescent="0.2">
      <c r="A7" s="6" t="s">
        <v>21</v>
      </c>
      <c r="B7" s="8">
        <v>19204</v>
      </c>
      <c r="C7" s="8" t="s">
        <v>18</v>
      </c>
      <c r="D7" s="6" t="s">
        <v>11</v>
      </c>
    </row>
    <row r="8" spans="1:4" s="4" customFormat="1" ht="32" customHeight="1" x14ac:dyDescent="0.2">
      <c r="A8" s="6" t="s">
        <v>5</v>
      </c>
      <c r="B8" s="9">
        <f>Summary!D6</f>
        <v>3336.2834098272137</v>
      </c>
      <c r="C8" s="9" t="s">
        <v>19</v>
      </c>
      <c r="D8" s="6" t="s">
        <v>55</v>
      </c>
    </row>
    <row r="9" spans="1:4" s="4" customFormat="1" ht="32" customHeight="1" x14ac:dyDescent="0.2">
      <c r="A9" s="6" t="s">
        <v>2</v>
      </c>
      <c r="B9" s="10">
        <f>B8*B5/B7/B6</f>
        <v>1.5198721177472049E-2</v>
      </c>
      <c r="C9" s="10" t="s">
        <v>20</v>
      </c>
      <c r="D9" s="6" t="s">
        <v>12</v>
      </c>
    </row>
    <row r="10" spans="1:4" s="4" customFormat="1" ht="32" customHeight="1" x14ac:dyDescent="0.2">
      <c r="A10" s="6" t="s">
        <v>1</v>
      </c>
      <c r="B10" s="9">
        <f>Summary!C6</f>
        <v>1668.1417049136069</v>
      </c>
      <c r="C10" s="9" t="s">
        <v>19</v>
      </c>
      <c r="D10" s="6" t="s">
        <v>54</v>
      </c>
    </row>
    <row r="11" spans="1:4" s="4" customFormat="1" ht="32" customHeight="1" x14ac:dyDescent="0.2">
      <c r="A11" s="6" t="s">
        <v>4</v>
      </c>
      <c r="B11" s="10">
        <f>B9/B8*B10</f>
        <v>7.5993605887360255E-3</v>
      </c>
      <c r="C11" s="10" t="s">
        <v>20</v>
      </c>
      <c r="D11" s="6" t="s">
        <v>14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59</v>
      </c>
      <c r="B13" s="13">
        <f>-B11</f>
        <v>-7.5993605887360255E-3</v>
      </c>
      <c r="C13" s="10" t="s">
        <v>20</v>
      </c>
      <c r="D13" s="12" t="s">
        <v>15</v>
      </c>
    </row>
    <row r="14" spans="1:4" s="4" customFormat="1" ht="32" customHeight="1" x14ac:dyDescent="0.2">
      <c r="A14" s="6" t="s">
        <v>60</v>
      </c>
      <c r="B14" s="13">
        <f>-B9</f>
        <v>-1.5198721177472049E-2</v>
      </c>
      <c r="C14" s="10" t="s">
        <v>20</v>
      </c>
      <c r="D14" s="12" t="s">
        <v>15</v>
      </c>
    </row>
    <row r="15" spans="1:4" s="4" customFormat="1" x14ac:dyDescent="0.2"/>
    <row r="16" spans="1:4" s="4" customFormat="1" ht="16" x14ac:dyDescent="0.2">
      <c r="A16" s="4" t="s">
        <v>38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30D EV high - GCAM math</vt:lpstr>
      <vt:lpstr>30D EV medium - GCAM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Horowitz, Russell L</dc:creator>
  <cp:lastModifiedBy>Kowan O'Keefe</cp:lastModifiedBy>
  <dcterms:created xsi:type="dcterms:W3CDTF">2022-02-23T14:20:14Z</dcterms:created>
  <dcterms:modified xsi:type="dcterms:W3CDTF">2022-09-09T15:14:13Z</dcterms:modified>
</cp:coreProperties>
</file>