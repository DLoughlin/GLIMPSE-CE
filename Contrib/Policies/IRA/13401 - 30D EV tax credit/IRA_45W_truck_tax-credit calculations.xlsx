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wanokeefe/Documents/CGS/ IRA/IRA_EV_tax-credit/"/>
    </mc:Choice>
  </mc:AlternateContent>
  <xr:revisionPtr revIDLastSave="0" documentId="13_ncr:1_{C704910C-7926-5442-B718-2EEC21EC2A51}" xr6:coauthVersionLast="47" xr6:coauthVersionMax="47" xr10:uidLastSave="{00000000-0000-0000-0000-000000000000}"/>
  <bookViews>
    <workbookView xWindow="0" yWindow="500" windowWidth="26940" windowHeight="17500" xr2:uid="{FC36E7FC-C55D-463A-B5D3-CBF0FFC1F70B}"/>
  </bookViews>
  <sheets>
    <sheet name="Summary" sheetId="4" r:id="rId1"/>
    <sheet name="45W Calculations" sheetId="5" r:id="rId2"/>
    <sheet name="45W Heavy Truck - GCAM math" sheetId="6" r:id="rId3"/>
    <sheet name="45W Medium Truck - GCAM math" sheetId="7" r:id="rId4"/>
    <sheet name="45W Light Truck - GCAM math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8" l="1"/>
  <c r="B10" i="8"/>
  <c r="B6" i="8"/>
  <c r="B5" i="8"/>
  <c r="B7" i="7"/>
  <c r="B10" i="7"/>
  <c r="B6" i="7"/>
  <c r="B5" i="7"/>
  <c r="B8" i="6"/>
  <c r="B10" i="6" s="1"/>
  <c r="B5" i="6"/>
  <c r="B7" i="6"/>
  <c r="B6" i="6"/>
  <c r="J16" i="5" s="1"/>
  <c r="I6" i="5" l="1"/>
  <c r="J6" i="5" s="1"/>
  <c r="I8" i="5"/>
  <c r="J8" i="5" s="1"/>
  <c r="I7" i="5"/>
  <c r="J7" i="5" s="1"/>
  <c r="L7" i="5" s="1"/>
  <c r="B9" i="8"/>
  <c r="B14" i="8"/>
  <c r="B11" i="8"/>
  <c r="B13" i="8" s="1"/>
  <c r="B9" i="7"/>
  <c r="B9" i="6"/>
  <c r="B14" i="6" s="1"/>
  <c r="L6" i="5"/>
  <c r="B14" i="7" l="1"/>
  <c r="B11" i="7"/>
  <c r="B13" i="7" s="1"/>
  <c r="B11" i="6"/>
  <c r="B13" i="6" s="1"/>
  <c r="L8" i="5"/>
</calcChain>
</file>

<file path=xl/sharedStrings.xml><?xml version="1.0" encoding="utf-8"?>
<sst xmlns="http://schemas.openxmlformats.org/spreadsheetml/2006/main" count="160" uniqueCount="86">
  <si>
    <t>From gcamdata:  energy.DISCOUNT_RATE_VEH + energy.DISCOUNT_RATE_VEH / (((1 + energy.DISCOUNT_RATE_VEH) ^ energy.NPER_AMORT_VEH) - 1)</t>
  </si>
  <si>
    <t>2025 subsidy (2021 USD / vehicle)</t>
  </si>
  <si>
    <t>2030 subsidy (1990 USD / vkt)</t>
  </si>
  <si>
    <t>fcr (10 years)</t>
  </si>
  <si>
    <t>2025 subsidy (1990 USD / vkt)</t>
  </si>
  <si>
    <t>2030 subsidy (2021 USD / vehicle)</t>
  </si>
  <si>
    <t>Measure</t>
  </si>
  <si>
    <t>Value</t>
  </si>
  <si>
    <t>Notes</t>
  </si>
  <si>
    <t xml:space="preserve">From St. Louis Federal Reserve Bank: https://fred.stlouisfed.org/series/A191RD3A086NBEA </t>
  </si>
  <si>
    <t xml:space="preserve">From gcamdata </t>
  </si>
  <si>
    <t>S_vkt = S_veh + (fcr / (v*g)), where S_vkt = dollar per vehicle-km traveled subsidy, S_veh = dollar per vehicle subsidy, fcr = fixed charge rate, v = average vkt per year, and g = GDP deflator</t>
  </si>
  <si>
    <t>GDP deflator (2021, 1990)</t>
  </si>
  <si>
    <t>This will the same in for all states and DC in GCAM-USA, and the value of the tax-credit will be the same in GCAM-global</t>
  </si>
  <si>
    <t>Units</t>
  </si>
  <si>
    <t>N/A</t>
  </si>
  <si>
    <t>vkt/veh/yr</t>
  </si>
  <si>
    <t>2021 USD / vehicle</t>
  </si>
  <si>
    <t>1990 USD / vkt</t>
  </si>
  <si>
    <t>Effective Value of Tax Credit</t>
  </si>
  <si>
    <t># Non-fuel cost was adjusted to 1990</t>
  </si>
  <si>
    <t># Transportation cost table was mapped from UCD technology to GCAM technology</t>
  </si>
  <si>
    <t>region</t>
  </si>
  <si>
    <t>supplysector</t>
  </si>
  <si>
    <t>tranSubsector</t>
  </si>
  <si>
    <t>stub.technology</t>
  </si>
  <si>
    <t>year</t>
  </si>
  <si>
    <t>minicam.non.energy.input</t>
  </si>
  <si>
    <t>input.cost</t>
  </si>
  <si>
    <t>USA</t>
  </si>
  <si>
    <t>trn_freight_road</t>
  </si>
  <si>
    <t>Heavy truck</t>
  </si>
  <si>
    <t>BEV</t>
  </si>
  <si>
    <t>non-energy</t>
  </si>
  <si>
    <t>Light truck</t>
  </si>
  <si>
    <t>Medium truck</t>
  </si>
  <si>
    <t>fcr</t>
  </si>
  <si>
    <t>v_bus</t>
  </si>
  <si>
    <t>v_LDT</t>
  </si>
  <si>
    <t>v_MDT</t>
  </si>
  <si>
    <t>vkt_veh_yr</t>
  </si>
  <si>
    <t>v_HDT</t>
  </si>
  <si>
    <t>V_LDV</t>
  </si>
  <si>
    <t>g</t>
  </si>
  <si>
    <t>Non-energy cost</t>
  </si>
  <si>
    <t>fcr/(v*g)</t>
  </si>
  <si>
    <t>45W_tax-credit</t>
  </si>
  <si>
    <t>Limit (all cases)</t>
  </si>
  <si>
    <t>fixed charge rate</t>
  </si>
  <si>
    <t>GDP deflator 2021-1990</t>
  </si>
  <si>
    <t>Same as in 2030</t>
  </si>
  <si>
    <t>Same as calculation for input value for 2030</t>
  </si>
  <si>
    <t>GCAM Input for "IRA_45W_heavy-truck_tax-credit" in 2025</t>
  </si>
  <si>
    <t>Implemented as an add-on file that represents a subsidy (i.e., negative cost) called "IRA_45W_heavy-truck_tax-credit"</t>
  </si>
  <si>
    <t>GCAM Input for "IRA_45W_heavy-truck_tax-credit" in 2030</t>
  </si>
  <si>
    <t>30% of non-energy cost is greater than the maximum tax-credit, meaning that the cap on the value of the tax credit of $7,500 applies here for medium duty trucks</t>
  </si>
  <si>
    <t>IRA 45W medium-truck tax-credit</t>
  </si>
  <si>
    <t>Implemented as an add-on file that represents a subsidy (i.e., negative cost) called "IRA_45W_medium-truck_tax-credit"</t>
  </si>
  <si>
    <t>30% of non-energy cost is greater than the maximum tax-credit, meaning that the cap on the value of the tax credit of $40,000 applies here for heavy duty trucks</t>
  </si>
  <si>
    <t>IRA 45W heavy-truck tax-credit</t>
  </si>
  <si>
    <t>GCAM Input for "IRA_45W_medium-truck_tax-credit" in 2025</t>
  </si>
  <si>
    <t>GCAM Input for "IRA_45W_medium-truck_tax-credit" in 2030</t>
  </si>
  <si>
    <t>IRA 45W light-truck tax-credit</t>
  </si>
  <si>
    <t>Implemented as an add-on file that represents a subsidy (i.e., negative cost) called "IRA_45W_light-truck_tax-credit"</t>
  </si>
  <si>
    <t>Average vehicle-km per year for light duty trucks</t>
  </si>
  <si>
    <t>Average vehicle-km per year for medium duty trucks</t>
  </si>
  <si>
    <t>Average vehicle-km per year for heavy duty trucks</t>
  </si>
  <si>
    <t>30% of non-energy cost is greater than the maximum tax-credit, meaning that the cap on the value of the tax credit of $7,500 applies here for light duty trucks</t>
  </si>
  <si>
    <t>GCAM Input for "IRA_45W_light-truck_tax-credit" in 2025</t>
  </si>
  <si>
    <t>GCAM Input for "IRA_45W_light-truck_tax-credit" in 2030</t>
  </si>
  <si>
    <t>45W Heavy Truck Princeton</t>
  </si>
  <si>
    <t>45W Heavy Truck Energy Innovation</t>
  </si>
  <si>
    <t>45W Medium Truck Princeton</t>
  </si>
  <si>
    <t>45W Medium Truck Energy Innovation</t>
  </si>
  <si>
    <t>45W Light Truck Princeton</t>
  </si>
  <si>
    <t>45W Light Truck Energy Innovation</t>
  </si>
  <si>
    <t>The purpose of this sheet is to calculate non-energy cost (CAPEX and nonCAPEX) to determine whether 30% of cost is larger than the limit for the tax-credit…for all trucks, 30% of cost is larger than limit, so the tax-credit will equal the value of the limit</t>
  </si>
  <si>
    <t>no battery sourcing or mineral reuirements</t>
  </si>
  <si>
    <t>no income requirements</t>
  </si>
  <si>
    <t>no cost requirements</t>
  </si>
  <si>
    <t>This tax-credit is for commercial vehicles</t>
  </si>
  <si>
    <t>Sheet titled "45W calculations" shows that 30% of purchase price is larger than $40,000 for heavy trucks and larger than $7,500 for medium and light trucks</t>
  </si>
  <si>
    <t>tax-credit value equals 30% of purchase price or $40,000 for heavy trucks, and $7,500 for medium and light trucks (whichever value is smaller)</t>
  </si>
  <si>
    <t>* for now, I remove the tax credit after 2032</t>
  </si>
  <si>
    <t>2035 &amp; beyond</t>
  </si>
  <si>
    <t>IRA 45W commercial clean vehicle tax-credit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</si>
</sst>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64" fontId="0" fillId="0" borderId="1" xfId="2" applyNumberFormat="1" applyFont="1" applyBorder="1" applyAlignment="1">
      <alignment horizontal="right" vertical="center" wrapText="1"/>
    </xf>
    <xf numFmtId="165" fontId="0" fillId="0" borderId="1" xfId="2" applyNumberFormat="1" applyFont="1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165" fontId="0" fillId="2" borderId="1" xfId="0" applyNumberFormat="1" applyFill="1" applyBorder="1" applyAlignment="1">
      <alignment horizontal="right"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" fontId="0" fillId="0" borderId="0" xfId="0" applyNumberFormat="1"/>
    <xf numFmtId="0" fontId="0" fillId="2" borderId="1" xfId="0" applyFill="1" applyBorder="1"/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1" xfId="2" applyNumberFormat="1" applyFont="1" applyFill="1" applyBorder="1"/>
    <xf numFmtId="164" fontId="0" fillId="0" borderId="1" xfId="2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2C0D-A4AB-CA46-8FC9-BE3244552DF4}">
  <dimension ref="A1:D17"/>
  <sheetViews>
    <sheetView tabSelected="1" zoomScale="158" workbookViewId="0"/>
  </sheetViews>
  <sheetFormatPr baseColWidth="10" defaultRowHeight="15" x14ac:dyDescent="0.2"/>
  <cols>
    <col min="1" max="1" width="30.1640625" customWidth="1"/>
    <col min="2" max="3" width="11.1640625" bestFit="1" customWidth="1"/>
    <col min="4" max="4" width="12" customWidth="1"/>
  </cols>
  <sheetData>
    <row r="1" spans="1:4" x14ac:dyDescent="0.2">
      <c r="A1" t="s">
        <v>85</v>
      </c>
    </row>
    <row r="3" spans="1:4" x14ac:dyDescent="0.2">
      <c r="A3" s="16"/>
      <c r="B3" s="23" t="s">
        <v>19</v>
      </c>
      <c r="C3" s="24"/>
      <c r="D3" s="25"/>
    </row>
    <row r="4" spans="1:4" x14ac:dyDescent="0.2">
      <c r="A4" s="16"/>
      <c r="B4" s="11">
        <v>2025</v>
      </c>
      <c r="C4" s="11">
        <v>2030</v>
      </c>
      <c r="D4" s="11" t="s">
        <v>84</v>
      </c>
    </row>
    <row r="5" spans="1:4" x14ac:dyDescent="0.2">
      <c r="A5" s="16" t="s">
        <v>70</v>
      </c>
      <c r="B5" s="21">
        <v>40000</v>
      </c>
      <c r="C5" s="21">
        <v>40000</v>
      </c>
      <c r="D5" s="22">
        <v>0</v>
      </c>
    </row>
    <row r="6" spans="1:4" x14ac:dyDescent="0.2">
      <c r="A6" s="16" t="s">
        <v>71</v>
      </c>
      <c r="B6" s="21">
        <v>40000</v>
      </c>
      <c r="C6" s="21">
        <v>40000</v>
      </c>
      <c r="D6" s="22">
        <v>0</v>
      </c>
    </row>
    <row r="7" spans="1:4" x14ac:dyDescent="0.2">
      <c r="A7" s="16" t="s">
        <v>72</v>
      </c>
      <c r="B7" s="21">
        <v>7500</v>
      </c>
      <c r="C7" s="21">
        <v>7500</v>
      </c>
      <c r="D7" s="22">
        <v>0</v>
      </c>
    </row>
    <row r="8" spans="1:4" x14ac:dyDescent="0.2">
      <c r="A8" s="16" t="s">
        <v>73</v>
      </c>
      <c r="B8" s="21">
        <v>7500</v>
      </c>
      <c r="C8" s="21">
        <v>7500</v>
      </c>
      <c r="D8" s="22">
        <v>0</v>
      </c>
    </row>
    <row r="9" spans="1:4" x14ac:dyDescent="0.2">
      <c r="A9" s="16" t="s">
        <v>74</v>
      </c>
      <c r="B9" s="21">
        <v>7500</v>
      </c>
      <c r="C9" s="21">
        <v>7500</v>
      </c>
      <c r="D9" s="22">
        <v>0</v>
      </c>
    </row>
    <row r="10" spans="1:4" x14ac:dyDescent="0.2">
      <c r="A10" s="16" t="s">
        <v>75</v>
      </c>
      <c r="B10" s="21">
        <v>7500</v>
      </c>
      <c r="C10" s="21">
        <v>7500</v>
      </c>
      <c r="D10" s="22">
        <v>0</v>
      </c>
    </row>
    <row r="12" spans="1:4" x14ac:dyDescent="0.2">
      <c r="A12" t="s">
        <v>80</v>
      </c>
    </row>
    <row r="13" spans="1:4" x14ac:dyDescent="0.2">
      <c r="A13" t="s">
        <v>77</v>
      </c>
    </row>
    <row r="14" spans="1:4" x14ac:dyDescent="0.2">
      <c r="A14" t="s">
        <v>78</v>
      </c>
    </row>
    <row r="15" spans="1:4" x14ac:dyDescent="0.2">
      <c r="A15" t="s">
        <v>79</v>
      </c>
    </row>
    <row r="16" spans="1:4" x14ac:dyDescent="0.2">
      <c r="A16" t="s">
        <v>82</v>
      </c>
    </row>
    <row r="17" spans="1:1" x14ac:dyDescent="0.2">
      <c r="A17" t="s">
        <v>81</v>
      </c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13B3-FA83-2441-BBA6-4A4DEC6C192C}">
  <dimension ref="A1:N16"/>
  <sheetViews>
    <sheetView zoomScaleNormal="100" workbookViewId="0"/>
  </sheetViews>
  <sheetFormatPr baseColWidth="10" defaultRowHeight="15" x14ac:dyDescent="0.2"/>
  <cols>
    <col min="9" max="9" width="13.6640625" customWidth="1"/>
    <col min="10" max="10" width="14" customWidth="1"/>
    <col min="11" max="11" width="19.6640625" customWidth="1"/>
    <col min="12" max="12" width="12.83203125" customWidth="1"/>
  </cols>
  <sheetData>
    <row r="1" spans="1:14" x14ac:dyDescent="0.2">
      <c r="A1" t="s">
        <v>76</v>
      </c>
    </row>
    <row r="3" spans="1:14" x14ac:dyDescent="0.2">
      <c r="A3" t="s">
        <v>20</v>
      </c>
    </row>
    <row r="4" spans="1:14" x14ac:dyDescent="0.2">
      <c r="A4" t="s">
        <v>21</v>
      </c>
      <c r="L4" s="26" t="s">
        <v>46</v>
      </c>
      <c r="M4" s="26"/>
      <c r="N4" s="15"/>
    </row>
    <row r="5" spans="1:14" x14ac:dyDescent="0.2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I5" s="3" t="s">
        <v>45</v>
      </c>
      <c r="J5" s="3" t="s">
        <v>44</v>
      </c>
      <c r="L5" s="19">
        <v>0.3</v>
      </c>
      <c r="M5" s="20" t="s">
        <v>47</v>
      </c>
    </row>
    <row r="6" spans="1:14" x14ac:dyDescent="0.2">
      <c r="A6" t="s">
        <v>29</v>
      </c>
      <c r="B6" t="s">
        <v>30</v>
      </c>
      <c r="C6" t="s">
        <v>31</v>
      </c>
      <c r="D6" t="s">
        <v>32</v>
      </c>
      <c r="E6">
        <v>2030</v>
      </c>
      <c r="F6" t="s">
        <v>33</v>
      </c>
      <c r="G6">
        <v>0.58630000000000004</v>
      </c>
      <c r="I6">
        <f>J10/(J14*J16)</f>
        <v>1.2193775369386994E-6</v>
      </c>
      <c r="J6">
        <f>G6/I6</f>
        <v>480819.09190481872</v>
      </c>
      <c r="L6" s="17">
        <f>J6*0.3</f>
        <v>144245.7275714456</v>
      </c>
      <c r="M6" s="18">
        <v>40000</v>
      </c>
    </row>
    <row r="7" spans="1:14" x14ac:dyDescent="0.2">
      <c r="A7" t="s">
        <v>29</v>
      </c>
      <c r="B7" t="s">
        <v>30</v>
      </c>
      <c r="C7" t="s">
        <v>34</v>
      </c>
      <c r="D7" t="s">
        <v>32</v>
      </c>
      <c r="E7">
        <v>2030</v>
      </c>
      <c r="F7" t="s">
        <v>33</v>
      </c>
      <c r="G7">
        <v>0.19589999999999999</v>
      </c>
      <c r="I7">
        <f>J10/(J12*J16)</f>
        <v>4.4693808531259485E-6</v>
      </c>
      <c r="J7">
        <f>G7/I7</f>
        <v>43831.574537440625</v>
      </c>
      <c r="L7" s="17">
        <f>J7*0.3</f>
        <v>13149.472361232187</v>
      </c>
      <c r="M7" s="18">
        <v>7500</v>
      </c>
    </row>
    <row r="8" spans="1:14" x14ac:dyDescent="0.2">
      <c r="A8" t="s">
        <v>29</v>
      </c>
      <c r="B8" t="s">
        <v>30</v>
      </c>
      <c r="C8" t="s">
        <v>35</v>
      </c>
      <c r="D8" t="s">
        <v>32</v>
      </c>
      <c r="E8">
        <v>2030</v>
      </c>
      <c r="F8" t="s">
        <v>33</v>
      </c>
      <c r="G8">
        <v>0.435</v>
      </c>
      <c r="I8">
        <f>J10/(J13*J16)</f>
        <v>4.1067524160606158E-6</v>
      </c>
      <c r="J8">
        <f>G8/I8</f>
        <v>105923.11294413795</v>
      </c>
      <c r="L8" s="17">
        <f>J8*0.3</f>
        <v>31776.933883241381</v>
      </c>
      <c r="M8" s="18">
        <v>7500</v>
      </c>
    </row>
    <row r="10" spans="1:14" x14ac:dyDescent="0.2">
      <c r="I10" t="s">
        <v>36</v>
      </c>
      <c r="J10">
        <v>0.16274540000000001</v>
      </c>
      <c r="K10" t="s">
        <v>48</v>
      </c>
    </row>
    <row r="11" spans="1:14" x14ac:dyDescent="0.2">
      <c r="I11" t="s">
        <v>37</v>
      </c>
      <c r="J11">
        <v>51707.82</v>
      </c>
      <c r="K11" t="s">
        <v>40</v>
      </c>
    </row>
    <row r="12" spans="1:14" x14ac:dyDescent="0.2">
      <c r="I12" t="s">
        <v>38</v>
      </c>
      <c r="J12">
        <v>19574.400000000001</v>
      </c>
      <c r="K12" t="s">
        <v>40</v>
      </c>
    </row>
    <row r="13" spans="1:14" x14ac:dyDescent="0.2">
      <c r="I13" t="s">
        <v>39</v>
      </c>
      <c r="J13">
        <v>21302.83</v>
      </c>
      <c r="K13" t="s">
        <v>40</v>
      </c>
    </row>
    <row r="14" spans="1:14" x14ac:dyDescent="0.2">
      <c r="I14" t="s">
        <v>41</v>
      </c>
      <c r="J14">
        <v>71745.990000000005</v>
      </c>
      <c r="K14" t="s">
        <v>40</v>
      </c>
    </row>
    <row r="15" spans="1:14" x14ac:dyDescent="0.2">
      <c r="I15" t="s">
        <v>42</v>
      </c>
      <c r="J15">
        <v>19204</v>
      </c>
      <c r="K15" t="s">
        <v>40</v>
      </c>
    </row>
    <row r="16" spans="1:14" x14ac:dyDescent="0.2">
      <c r="I16" t="s">
        <v>43</v>
      </c>
      <c r="J16">
        <f>'45W Heavy Truck - GCAM math'!B6</f>
        <v>1.8602567930725591</v>
      </c>
      <c r="K16" t="s">
        <v>49</v>
      </c>
    </row>
  </sheetData>
  <mergeCells count="1"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F176-3D61-814A-8543-73422122B3F9}">
  <dimension ref="A1:D22"/>
  <sheetViews>
    <sheetView zoomScaleNormal="100" workbookViewId="0">
      <selection activeCell="A16" sqref="A16"/>
    </sheetView>
  </sheetViews>
  <sheetFormatPr baseColWidth="10" defaultColWidth="8.83203125" defaultRowHeight="15" x14ac:dyDescent="0.2"/>
  <cols>
    <col min="1" max="1" width="44.5" customWidth="1"/>
    <col min="2" max="3" width="10.83203125" customWidth="1"/>
    <col min="4" max="4" width="78.83203125" customWidth="1"/>
  </cols>
  <sheetData>
    <row r="1" spans="1:4" x14ac:dyDescent="0.2">
      <c r="A1" s="3" t="s">
        <v>59</v>
      </c>
    </row>
    <row r="2" spans="1:4" x14ac:dyDescent="0.2">
      <c r="A2" s="14" t="s">
        <v>53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66</v>
      </c>
      <c r="B7" s="8">
        <f>'45W Calculations'!J14</f>
        <v>71745.990000000005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f>'45W Calculations'!M6</f>
        <v>40000</v>
      </c>
      <c r="C8" s="9" t="s">
        <v>17</v>
      </c>
      <c r="D8" s="6" t="s">
        <v>58</v>
      </c>
    </row>
    <row r="9" spans="1:4" s="4" customFormat="1" ht="32" customHeight="1" x14ac:dyDescent="0.2">
      <c r="A9" s="6" t="s">
        <v>2</v>
      </c>
      <c r="B9" s="10">
        <f>B8*B5/B7/B6</f>
        <v>4.8775101477547982E-2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40000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4.8775101477547975E-2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52</v>
      </c>
      <c r="B13" s="13">
        <f>-B11</f>
        <v>-4.8775101477547975E-2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54</v>
      </c>
      <c r="B14" s="13">
        <f>-B9</f>
        <v>-4.8775101477547982E-2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52B-05B6-3B42-A67C-BABD15ADE5A0}">
  <dimension ref="A1:D22"/>
  <sheetViews>
    <sheetView zoomScaleNormal="100" workbookViewId="0"/>
  </sheetViews>
  <sheetFormatPr baseColWidth="10" defaultColWidth="8.83203125" defaultRowHeight="15" x14ac:dyDescent="0.2"/>
  <cols>
    <col min="1" max="1" width="47.1640625" customWidth="1"/>
    <col min="2" max="3" width="10.83203125" customWidth="1"/>
    <col min="4" max="4" width="78.83203125" customWidth="1"/>
  </cols>
  <sheetData>
    <row r="1" spans="1:4" x14ac:dyDescent="0.2">
      <c r="A1" s="3" t="s">
        <v>56</v>
      </c>
    </row>
    <row r="2" spans="1:4" x14ac:dyDescent="0.2">
      <c r="A2" s="14" t="s">
        <v>57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65</v>
      </c>
      <c r="B7" s="8">
        <f>'45W Calculations'!J13</f>
        <v>21302.83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v>7500</v>
      </c>
      <c r="C8" s="9" t="s">
        <v>17</v>
      </c>
      <c r="D8" s="6" t="s">
        <v>55</v>
      </c>
    </row>
    <row r="9" spans="1:4" s="4" customFormat="1" ht="32" customHeight="1" x14ac:dyDescent="0.2">
      <c r="A9" s="6" t="s">
        <v>2</v>
      </c>
      <c r="B9" s="10">
        <f>B8*B5/B7/B6</f>
        <v>3.0800643120454614E-2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7500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3.0800643120454611E-2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60</v>
      </c>
      <c r="B13" s="13">
        <f>-B11</f>
        <v>-3.0800643120454611E-2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61</v>
      </c>
      <c r="B14" s="13">
        <f>-B9</f>
        <v>-3.0800643120454614E-2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B438-E01D-D64A-B1BF-1256371A1586}">
  <dimension ref="A1:D22"/>
  <sheetViews>
    <sheetView zoomScaleNormal="100" workbookViewId="0"/>
  </sheetViews>
  <sheetFormatPr baseColWidth="10" defaultColWidth="8.83203125" defaultRowHeight="15" x14ac:dyDescent="0.2"/>
  <cols>
    <col min="1" max="1" width="47.1640625" customWidth="1"/>
    <col min="2" max="3" width="10.83203125" customWidth="1"/>
    <col min="4" max="4" width="78.83203125" customWidth="1"/>
  </cols>
  <sheetData>
    <row r="1" spans="1:4" x14ac:dyDescent="0.2">
      <c r="A1" s="3" t="s">
        <v>62</v>
      </c>
    </row>
    <row r="2" spans="1:4" x14ac:dyDescent="0.2">
      <c r="A2" s="14" t="s">
        <v>63</v>
      </c>
    </row>
    <row r="3" spans="1:4" x14ac:dyDescent="0.2">
      <c r="A3" s="1"/>
    </row>
    <row r="4" spans="1:4" x14ac:dyDescent="0.2">
      <c r="A4" s="11" t="s">
        <v>6</v>
      </c>
      <c r="B4" s="11" t="s">
        <v>7</v>
      </c>
      <c r="C4" s="11" t="s">
        <v>14</v>
      </c>
      <c r="D4" s="11" t="s">
        <v>8</v>
      </c>
    </row>
    <row r="5" spans="1:4" s="4" customFormat="1" ht="32" customHeight="1" x14ac:dyDescent="0.2">
      <c r="A5" s="6" t="s">
        <v>3</v>
      </c>
      <c r="B5" s="7">
        <f>'45W Calculations'!J10</f>
        <v>0.16274540000000001</v>
      </c>
      <c r="C5" s="7" t="s">
        <v>15</v>
      </c>
      <c r="D5" s="6" t="s">
        <v>0</v>
      </c>
    </row>
    <row r="6" spans="1:4" s="4" customFormat="1" ht="32" customHeight="1" x14ac:dyDescent="0.2">
      <c r="A6" s="6" t="s">
        <v>12</v>
      </c>
      <c r="B6" s="7">
        <f xml:space="preserve"> 118.37 / 63.631</f>
        <v>1.8602567930725591</v>
      </c>
      <c r="C6" s="7" t="s">
        <v>15</v>
      </c>
      <c r="D6" s="6" t="s">
        <v>9</v>
      </c>
    </row>
    <row r="7" spans="1:4" s="4" customFormat="1" ht="32" customHeight="1" x14ac:dyDescent="0.2">
      <c r="A7" s="6" t="s">
        <v>64</v>
      </c>
      <c r="B7" s="8">
        <f>'45W Calculations'!J12</f>
        <v>19574.400000000001</v>
      </c>
      <c r="C7" s="8" t="s">
        <v>16</v>
      </c>
      <c r="D7" s="6" t="s">
        <v>10</v>
      </c>
    </row>
    <row r="8" spans="1:4" s="4" customFormat="1" ht="32" customHeight="1" x14ac:dyDescent="0.2">
      <c r="A8" s="6" t="s">
        <v>5</v>
      </c>
      <c r="B8" s="9">
        <v>7500</v>
      </c>
      <c r="C8" s="9" t="s">
        <v>17</v>
      </c>
      <c r="D8" s="6" t="s">
        <v>67</v>
      </c>
    </row>
    <row r="9" spans="1:4" s="4" customFormat="1" ht="32" customHeight="1" x14ac:dyDescent="0.2">
      <c r="A9" s="6" t="s">
        <v>2</v>
      </c>
      <c r="B9" s="10">
        <f>B8*B5/B7/B6</f>
        <v>3.3520356398444612E-2</v>
      </c>
      <c r="C9" s="10" t="s">
        <v>18</v>
      </c>
      <c r="D9" s="6" t="s">
        <v>11</v>
      </c>
    </row>
    <row r="10" spans="1:4" s="4" customFormat="1" ht="32" customHeight="1" x14ac:dyDescent="0.2">
      <c r="A10" s="6" t="s">
        <v>1</v>
      </c>
      <c r="B10" s="9">
        <f>B8</f>
        <v>7500</v>
      </c>
      <c r="C10" s="9" t="s">
        <v>17</v>
      </c>
      <c r="D10" s="6" t="s">
        <v>50</v>
      </c>
    </row>
    <row r="11" spans="1:4" s="4" customFormat="1" ht="32" customHeight="1" x14ac:dyDescent="0.2">
      <c r="A11" s="6" t="s">
        <v>4</v>
      </c>
      <c r="B11" s="10">
        <f>B9/B8*B10</f>
        <v>3.3520356398444612E-2</v>
      </c>
      <c r="C11" s="10" t="s">
        <v>18</v>
      </c>
      <c r="D11" s="6" t="s">
        <v>51</v>
      </c>
    </row>
    <row r="12" spans="1:4" s="4" customFormat="1" ht="32" customHeight="1" x14ac:dyDescent="0.2">
      <c r="B12" s="5"/>
      <c r="C12" s="5"/>
    </row>
    <row r="13" spans="1:4" s="4" customFormat="1" ht="32" customHeight="1" x14ac:dyDescent="0.2">
      <c r="A13" s="6" t="s">
        <v>68</v>
      </c>
      <c r="B13" s="13">
        <f>-B11</f>
        <v>-3.3520356398444612E-2</v>
      </c>
      <c r="C13" s="10" t="s">
        <v>18</v>
      </c>
      <c r="D13" s="12" t="s">
        <v>13</v>
      </c>
    </row>
    <row r="14" spans="1:4" s="4" customFormat="1" ht="32" customHeight="1" x14ac:dyDescent="0.2">
      <c r="A14" s="6" t="s">
        <v>69</v>
      </c>
      <c r="B14" s="13">
        <f>-B9</f>
        <v>-3.3520356398444612E-2</v>
      </c>
      <c r="C14" s="10" t="s">
        <v>18</v>
      </c>
      <c r="D14" s="12" t="s">
        <v>13</v>
      </c>
    </row>
    <row r="15" spans="1:4" s="4" customFormat="1" x14ac:dyDescent="0.2"/>
    <row r="16" spans="1:4" s="4" customFormat="1" ht="16" x14ac:dyDescent="0.2">
      <c r="A16" s="4" t="s">
        <v>83</v>
      </c>
    </row>
    <row r="17" spans="1:4" s="4" customFormat="1" x14ac:dyDescent="0.2"/>
    <row r="18" spans="1:4" s="4" customFormat="1" x14ac:dyDescent="0.2"/>
    <row r="20" spans="1:4" x14ac:dyDescent="0.2">
      <c r="D20" s="2"/>
    </row>
    <row r="21" spans="1:4" x14ac:dyDescent="0.2">
      <c r="A21" s="1"/>
    </row>
    <row r="22" spans="1:4" x14ac:dyDescent="0.2">
      <c r="A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45W Calculations</vt:lpstr>
      <vt:lpstr>45W Heavy Truck - GCAM math</vt:lpstr>
      <vt:lpstr>45W Medium Truck - GCAM math</vt:lpstr>
      <vt:lpstr>45W Light Truck - GCAM 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Horowitz, Russell L</dc:creator>
  <cp:lastModifiedBy>Kowan O'Keefe</cp:lastModifiedBy>
  <dcterms:created xsi:type="dcterms:W3CDTF">2022-02-23T14:20:14Z</dcterms:created>
  <dcterms:modified xsi:type="dcterms:W3CDTF">2022-09-09T15:14:03Z</dcterms:modified>
</cp:coreProperties>
</file>