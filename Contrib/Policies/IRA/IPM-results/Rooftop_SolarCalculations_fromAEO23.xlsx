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-5p4\Contrib\Policies\IRA\"/>
    </mc:Choice>
  </mc:AlternateContent>
  <xr:revisionPtr revIDLastSave="0" documentId="8_{46F60BB2-DA84-44CC-9C87-9C8A01D9E695}" xr6:coauthVersionLast="47" xr6:coauthVersionMax="47" xr10:uidLastSave="{00000000-0000-0000-0000-000000000000}"/>
  <bookViews>
    <workbookView xWindow="10840" yWindow="160" windowWidth="24150" windowHeight="19090"/>
  </bookViews>
  <sheets>
    <sheet name="Overall" sheetId="3" r:id="rId1"/>
    <sheet name="Table_21._Residential_Sector_Eq" sheetId="1" r:id="rId2"/>
    <sheet name="Table_21._Commercial_Sector_Eq" sheetId="2" r:id="rId3"/>
  </sheets>
  <calcPr calcId="0"/>
</workbook>
</file>

<file path=xl/calcChain.xml><?xml version="1.0" encoding="utf-8"?>
<calcChain xmlns="http://schemas.openxmlformats.org/spreadsheetml/2006/main">
  <c r="K4" i="3" l="1"/>
  <c r="J4" i="3"/>
  <c r="I4" i="3"/>
  <c r="H4" i="3"/>
  <c r="G4" i="3"/>
  <c r="F4" i="3"/>
  <c r="K3" i="3"/>
  <c r="J3" i="3"/>
  <c r="I3" i="3"/>
  <c r="H3" i="3"/>
  <c r="G3" i="3"/>
  <c r="F3" i="3"/>
  <c r="F2" i="3"/>
  <c r="G2" i="3"/>
  <c r="H2" i="3"/>
  <c r="I2" i="3"/>
  <c r="J2" i="3"/>
  <c r="K2" i="3"/>
</calcChain>
</file>

<file path=xl/sharedStrings.xml><?xml version="1.0" encoding="utf-8"?>
<sst xmlns="http://schemas.openxmlformats.org/spreadsheetml/2006/main" count="1431" uniqueCount="698">
  <si>
    <t>Table 21.  Residential Sector Equipment Stock and Efficiency, and Distributed Generation</t>
  </si>
  <si>
    <t>https://www.eia.gov/outlooks/aeo/data/browser/#/?id=30-AEO2023&amp;region=0-0&amp;cases=ref2023~noIRA&amp;start=2021&amp;end=2050&amp;f=Q&amp;linechart=ref2023-d020623a.4-30-AEO2023~noIRA-d020623a.4-30-AEO2023&amp;sourcekey=0</t>
  </si>
  <si>
    <t>Mon Apr 24 2023 18:38:48 GMT-0400 (Eastern Daylight Time)</t>
  </si>
  <si>
    <t>Source: U.S. Energy Information Administration</t>
  </si>
  <si>
    <t>full name</t>
  </si>
  <si>
    <t>api key</t>
  </si>
  <si>
    <t>units</t>
  </si>
  <si>
    <t>Growth (2022-2050)</t>
  </si>
  <si>
    <t>Equipment Stock (million units)</t>
  </si>
  <si>
    <t>Main Space Heaters</t>
  </si>
  <si>
    <t>Electric Heat Pumps</t>
  </si>
  <si>
    <t>Residential Equipment: Equipment Stock: Main Space Heaters: Electric Heat Pumps</t>
  </si>
  <si>
    <t>millions</t>
  </si>
  <si>
    <t>Reference case</t>
  </si>
  <si>
    <t>Residential Equipment: Equipment Stock: Main Space Heaters: Electric Heat Pumps: Reference case</t>
  </si>
  <si>
    <t>AEO.2023.REF2023.EQNR_STK_RESD_MSHR_EHP_NA_NA_MILL.A</t>
  </si>
  <si>
    <t>No Inflation Reduction Act</t>
  </si>
  <si>
    <t>Residential Equipment: Equipment Stock: Main Space Heaters: Electric Heat Pumps: No Inflation Reduction Act</t>
  </si>
  <si>
    <t>AEO.2023.NOIRA.EQNR_STK_RESD_MSHR_EHP_NA_NA_MILL.A</t>
  </si>
  <si>
    <t>Electric Other</t>
  </si>
  <si>
    <t>Residential Equipment: Equipment Stock: Main Space Heaters: Electric Other</t>
  </si>
  <si>
    <t>Residential Equipment: Equipment Stock: Main Space Heaters: Electric Other: Reference case</t>
  </si>
  <si>
    <t>AEO.2023.REF2023.EQNR_STK_RESD_MSHR_ELO_NA_NA_MILL.A</t>
  </si>
  <si>
    <t>Residential Equipment: Equipment Stock: Main Space Heaters: Electric Other: No Inflation Reduction Act</t>
  </si>
  <si>
    <t>AEO.2023.NOIRA.EQNR_STK_RESD_MSHR_ELO_NA_NA_MILL.A</t>
  </si>
  <si>
    <t>Natural Gas Heat Pumps</t>
  </si>
  <si>
    <t>Residential Equipment: Equipment Stock: Main Space Heaters: Natural Gas Heat Pumps</t>
  </si>
  <si>
    <t>Residential Equipment: Equipment Stock: Main Space Heaters: Natural Gas Heat Pumps: Reference case</t>
  </si>
  <si>
    <t>AEO.2023.REF2023.EQNR_STK_RESD_MSHR_NHU_NA_NA_MILL.A</t>
  </si>
  <si>
    <t>Residential Equipment: Equipment Stock: Main Space Heaters: Natural Gas Heat Pumps: No Inflation Reduction Act</t>
  </si>
  <si>
    <t>AEO.2023.NOIRA.EQNR_STK_RESD_MSHR_NHU_NA_NA_MILL.A</t>
  </si>
  <si>
    <t>Natural Gas Other</t>
  </si>
  <si>
    <t>Residential Equipment: Equipment Stock: Main Space Heaters: Natural Gas Other</t>
  </si>
  <si>
    <t>Residential Equipment: Equipment Stock: Main Space Heaters: Natural Gas Other: Reference case</t>
  </si>
  <si>
    <t>AEO.2023.REF2023.EQNR_STK_RESD_MSHR_NGO_NA_NA_MILL.A</t>
  </si>
  <si>
    <t>Residential Equipment: Equipment Stock: Main Space Heaters: Natural Gas Other: No Inflation Reduction Act</t>
  </si>
  <si>
    <t>AEO.2023.NOIRA.EQNR_STK_RESD_MSHR_NGO_NA_NA_MILL.A</t>
  </si>
  <si>
    <t>Distillate Fuel Oil</t>
  </si>
  <si>
    <t>Residential Equipment: Equipment Stock: Main Space Heaters: Distillate Fuel Oil</t>
  </si>
  <si>
    <t>Residential Equipment: Equipment Stock: Main Space Heaters: Distillate Fuel Oil: Reference case</t>
  </si>
  <si>
    <t>AEO.2023.REF2023.EQNR_STK_RESD_MSHR_DFO_NA_NA_MILL.A</t>
  </si>
  <si>
    <t>Residential Equipment: Equipment Stock: Main Space Heaters: Distillate Fuel Oil: No Inflation Reduction Act</t>
  </si>
  <si>
    <t>AEO.2023.NOIRA.EQNR_STK_RESD_MSHR_DFO_NA_NA_MILL.A</t>
  </si>
  <si>
    <t>Propane</t>
  </si>
  <si>
    <t>Residential Equipment: Equipment Stock: Main Space Heaters: Propane</t>
  </si>
  <si>
    <t>Residential Equipment: Equipment Stock: Main Space Heaters: Propane: Reference case</t>
  </si>
  <si>
    <t>AEO.2023.REF2023.EQNR_STK_RESD_MSHR_PROP_NA_NA_MILL.A</t>
  </si>
  <si>
    <t>Residential Equipment: Equipment Stock: Main Space Heaters: Propane: No Inflation Reduction Act</t>
  </si>
  <si>
    <t>AEO.2023.NOIRA.EQNR_STK_RESD_MSHR_PROP_NA_NA_MILL.A</t>
  </si>
  <si>
    <t>Kerosene</t>
  </si>
  <si>
    <t>Residential Equipment: Equipment Stock: Main Space Heaters: Kerosene</t>
  </si>
  <si>
    <t>Residential Equipment: Equipment Stock: Main Space Heaters: Kerosene: Reference case</t>
  </si>
  <si>
    <t>AEO.2023.REF2023.EQNR_STK_RESD_MSHR_KRS_NA_NA_MILL.A</t>
  </si>
  <si>
    <t>Residential Equipment: Equipment Stock: Main Space Heaters: Kerosene: No Inflation Reduction Act</t>
  </si>
  <si>
    <t>AEO.2023.NOIRA.EQNR_STK_RESD_MSHR_KRS_NA_NA_MILL.A</t>
  </si>
  <si>
    <t>Wood Stoves</t>
  </si>
  <si>
    <t>Residential Equipment: Equipment Stock: Main Space Heaters: Wood Stoves</t>
  </si>
  <si>
    <t>Residential Equipment: Equipment Stock: Main Space Heaters: Wood Stoves: Reference case</t>
  </si>
  <si>
    <t>AEO.2023.REF2023.EQNR_STK_RESD_MSHR_WDS_NA_NA_MILL.A</t>
  </si>
  <si>
    <t>Residential Equipment: Equipment Stock: Main Space Heaters: Wood Stoves: No Inflation Reduction Act</t>
  </si>
  <si>
    <t>AEO.2023.NOIRA.EQNR_STK_RESD_MSHR_WDS_NA_NA_MILL.A</t>
  </si>
  <si>
    <t>Geothermal Heat Pumps</t>
  </si>
  <si>
    <t>Residential Equipment: Equipment Stock: Main Space Heaters: Geothermal Heat Pumps</t>
  </si>
  <si>
    <t>Residential Equipment: Equipment Stock: Main Space Heaters: Geothermal Heat Pumps: Reference case</t>
  </si>
  <si>
    <t>AEO.2023.REF2023.EQNR_STK_RESD_MSHR_GEHP_NA_NA_MILL.A</t>
  </si>
  <si>
    <t>Residential Equipment: Equipment Stock: Main Space Heaters: Geothermal Heat Pumps: No Inflation Reduction Act</t>
  </si>
  <si>
    <t>AEO.2023.NOIRA.EQNR_STK_RESD_MSHR_GEHP_NA_NA_MILL.A</t>
  </si>
  <si>
    <t>Total</t>
  </si>
  <si>
    <t>Residential Equipment: Equipment Stock: Main Space Heaters: Total</t>
  </si>
  <si>
    <t>Residential Equipment: Equipment Stock: Main Space Heaters: Total: Reference case</t>
  </si>
  <si>
    <t>AEO.2023.REF2023.EQNR_STK_RESD_MSHR_TOT_NA_NA_MILL.A</t>
  </si>
  <si>
    <t>Residential Equipment: Equipment Stock: Main Space Heaters: Total: No Inflation Reduction Act</t>
  </si>
  <si>
    <t>AEO.2023.NOIRA.EQNR_STK_RESD_MSHR_TOT_NA_NA_MILL.A</t>
  </si>
  <si>
    <t>Space Cooling (million units)</t>
  </si>
  <si>
    <t>Residential Equipment: Equipment Stock: Space Cooling: Electric Heat Pumps</t>
  </si>
  <si>
    <t>Residential Equipment: Equipment Stock: Space Cooling: Electric Heat Pumps: Reference case</t>
  </si>
  <si>
    <t>AEO.2023.REF2023.EQNR_STK_RESD_SPC_EHP_NA_NA_MILL.A</t>
  </si>
  <si>
    <t>Residential Equipment: Equipment Stock: Space Cooling: Electric Heat Pumps: No Inflation Reduction Act</t>
  </si>
  <si>
    <t>AEO.2023.NOIRA.EQNR_STK_RESD_SPC_EHP_NA_NA_MILL.A</t>
  </si>
  <si>
    <t>Residential Equipment: Equipment Stock: Space Cooling: Natural Gas Heat Pumps</t>
  </si>
  <si>
    <t>Residential Equipment: Equipment Stock: Space Cooling: Natural Gas Heat Pumps: Reference case</t>
  </si>
  <si>
    <t>AEO.2023.REF2023.EQNR_STK_RESD_SPC_NHU_NA_NA_MILL.A</t>
  </si>
  <si>
    <t>Residential Equipment: Equipment Stock: Space Cooling: Natural Gas Heat Pumps: No Inflation Reduction Act</t>
  </si>
  <si>
    <t>AEO.2023.NOIRA.EQNR_STK_RESD_SPC_NHU_NA_NA_MILL.A</t>
  </si>
  <si>
    <t>Residential Equipment: Equipment Stock: Space Cooling: Geothermal Heat Pumps</t>
  </si>
  <si>
    <t>Residential Equipment: Equipment Stock: Space Cooling: Geothermal Heat Pumps: Reference case</t>
  </si>
  <si>
    <t>AEO.2023.REF2023.EQNR_STK_RESD_SPC_GEHP_NA_NA_MILL.A</t>
  </si>
  <si>
    <t>Residential Equipment: Equipment Stock: Space Cooling: Geothermal Heat Pumps: No Inflation Reduction Act</t>
  </si>
  <si>
    <t>AEO.2023.NOIRA.EQNR_STK_RESD_SPC_GEHP_NA_NA_MILL.A</t>
  </si>
  <si>
    <t>Central Air Conditioners</t>
  </si>
  <si>
    <t>Residential Equipment: Equipment Stock: Space Cooling: Central Air Conditioners</t>
  </si>
  <si>
    <t>Residential Equipment: Equipment Stock: Space Cooling: Central Air Conditioners: Reference case</t>
  </si>
  <si>
    <t>AEO.2023.REF2023.EQNR_STK_RESD_SPC_CAC_NA_NA_MILL.A</t>
  </si>
  <si>
    <t>Residential Equipment: Equipment Stock: Space Cooling: Central Air Conditioners: No Inflation Reduction Act</t>
  </si>
  <si>
    <t>AEO.2023.NOIRA.EQNR_STK_RESD_SPC_CAC_NA_NA_MILL.A</t>
  </si>
  <si>
    <t>Room Air Conditioners</t>
  </si>
  <si>
    <t>Residential Equipment: Equipment Stock: Space Cooling: Room Air Conditioners</t>
  </si>
  <si>
    <t>Residential Equipment: Equipment Stock: Space Cooling: Room Air Conditioners: Reference case</t>
  </si>
  <si>
    <t>AEO.2023.REF2023.EQNR_STK_RESD_SPC_RAC_NA_NA_MILL.A</t>
  </si>
  <si>
    <t>Residential Equipment: Equipment Stock: Space Cooling: Room Air Conditioners: No Inflation Reduction Act</t>
  </si>
  <si>
    <t>AEO.2023.NOIRA.EQNR_STK_RESD_SPC_RAC_NA_NA_MILL.A</t>
  </si>
  <si>
    <t>Residential Equipment: Equipment Stock: Space Cooling: Total</t>
  </si>
  <si>
    <t>Residential Equipment: Equipment Stock: Space Cooling: Total: Reference case</t>
  </si>
  <si>
    <t>AEO.2023.REF2023.EQNR_STK_RESD_SPC_TOT_NA_NA_MILL.A</t>
  </si>
  <si>
    <t>Residential Equipment: Equipment Stock: Space Cooling: Total: No Inflation Reduction Act</t>
  </si>
  <si>
    <t>AEO.2023.NOIRA.EQNR_STK_RESD_SPC_TOT_NA_NA_MILL.A</t>
  </si>
  <si>
    <t>Water Heaters (million units)</t>
  </si>
  <si>
    <t>Electric</t>
  </si>
  <si>
    <t>Residential Equipment: Equipment Stock: Water Heaters: Electric</t>
  </si>
  <si>
    <t>Residential Equipment: Equipment Stock: Water Heaters: Electric: Reference case</t>
  </si>
  <si>
    <t>AEO.2023.REF2023.EQNR_STK_RESD_WHT_ELE_NA_NA_MILL.A</t>
  </si>
  <si>
    <t>Residential Equipment: Equipment Stock: Water Heaters: Electric: No Inflation Reduction Act</t>
  </si>
  <si>
    <t>AEO.2023.NOIRA.EQNR_STK_RESD_WHT_ELE_NA_NA_MILL.A</t>
  </si>
  <si>
    <t>Natural Gas</t>
  </si>
  <si>
    <t>Residential Equipment: Equipment Stock: Water Heaters: Natural Gas</t>
  </si>
  <si>
    <t>Residential Equipment: Equipment Stock: Water Heaters: Natural Gas: Reference case</t>
  </si>
  <si>
    <t>AEO.2023.REF2023.EQNR_STK_RESD_WHT_NG_NA_NA_MILL.A</t>
  </si>
  <si>
    <t>Residential Equipment: Equipment Stock: Water Heaters: Natural Gas: No Inflation Reduction Act</t>
  </si>
  <si>
    <t>AEO.2023.NOIRA.EQNR_STK_RESD_WHT_NG_NA_NA_MILL.A</t>
  </si>
  <si>
    <t>Residential Equipment: Equipment Stock: Water Heaters: Distillate Fuel Oil</t>
  </si>
  <si>
    <t>Residential Equipment: Equipment Stock: Water Heaters: Distillate Fuel Oil: Reference case</t>
  </si>
  <si>
    <t>AEO.2023.REF2023.EQNR_STK_RESD_WHT_DFO_NA_NA_MILL.A</t>
  </si>
  <si>
    <t>Residential Equipment: Equipment Stock: Water Heaters: Distillate Fuel Oil: No Inflation Reduction Act</t>
  </si>
  <si>
    <t>AEO.2023.NOIRA.EQNR_STK_RESD_WHT_DFO_NA_NA_MILL.A</t>
  </si>
  <si>
    <t>Residential Equipment: Equipment Stock: Water Heaters: Propane</t>
  </si>
  <si>
    <t>Residential Equipment: Equipment Stock: Water Heaters: Propane: Reference case</t>
  </si>
  <si>
    <t>AEO.2023.REF2023.EQNR_STK_RESD_WHT_PROP_NA_NA_MILL.A</t>
  </si>
  <si>
    <t>Residential Equipment: Equipment Stock: Water Heaters: Propane: No Inflation Reduction Act</t>
  </si>
  <si>
    <t>AEO.2023.NOIRA.EQNR_STK_RESD_WHT_PROP_NA_NA_MILL.A</t>
  </si>
  <si>
    <t>Solar Thermal</t>
  </si>
  <si>
    <t>Residential Equipment: Equipment Stock: Water Heaters: Solar Thermal</t>
  </si>
  <si>
    <t>Residential Equipment: Equipment Stock: Water Heaters: Solar Thermal: Reference case</t>
  </si>
  <si>
    <t>AEO.2023.REF2023.EQNR_STK_RESD_WHT_SLR_THERM_NA_MILL.A</t>
  </si>
  <si>
    <t>Residential Equipment: Equipment Stock: Water Heaters: Solar Thermal: No Inflation Reduction Act</t>
  </si>
  <si>
    <t>AEO.2023.NOIRA.EQNR_STK_RESD_WHT_SLR_THERM_NA_MILL.A</t>
  </si>
  <si>
    <t>Residential Equipment: Equipment Stock: Water Heaters: Total</t>
  </si>
  <si>
    <t>Residential Equipment: Equipment Stock: Water Heaters: Total: Reference case</t>
  </si>
  <si>
    <t>AEO.2023.REF2023.EQNR_STK_RESD_WHT_TOT_NA_NA_MILL.A</t>
  </si>
  <si>
    <t>Residential Equipment: Equipment Stock: Water Heaters: Total: No Inflation Reduction Act</t>
  </si>
  <si>
    <t>AEO.2023.NOIRA.EQNR_STK_RESD_WHT_TOT_NA_NA_MILL.A</t>
  </si>
  <si>
    <t>Cooking Equipment (million units)</t>
  </si>
  <si>
    <t>Residential Equipment: Equipment Stock: Cooking Equipment: Electric</t>
  </si>
  <si>
    <t>Residential Equipment: Equipment Stock: Cooking Equipment: Electric: Reference case</t>
  </si>
  <si>
    <t>AEO.2023.REF2023.EQNR_STK_RESD_CER_ELE_NA_NA_MILL.A</t>
  </si>
  <si>
    <t>Residential Equipment: Equipment Stock: Cooking Equipment: Electric: No Inflation Reduction Act</t>
  </si>
  <si>
    <t>AEO.2023.NOIRA.EQNR_STK_RESD_CER_ELE_NA_NA_MILL.A</t>
  </si>
  <si>
    <t>Residential Equipment: Equipment Stock: Cooking Equipment: Natural Gas</t>
  </si>
  <si>
    <t>Residential Equipment: Equipment Stock: Cooking Equipment: Natural Gas: Reference case</t>
  </si>
  <si>
    <t>AEO.2023.REF2023.EQNR_STK_RESD_CER_NG_NA_NA_MILL.A</t>
  </si>
  <si>
    <t>Residential Equipment: Equipment Stock: Cooking Equipment: Natural Gas: No Inflation Reduction Act</t>
  </si>
  <si>
    <t>AEO.2023.NOIRA.EQNR_STK_RESD_CER_NG_NA_NA_MILL.A</t>
  </si>
  <si>
    <t>Residential Equipment: Equipment Stock: Cooking Equipment: Propane</t>
  </si>
  <si>
    <t>Residential Equipment: Equipment Stock: Cooking Equipment: Propane: Reference case</t>
  </si>
  <si>
    <t>AEO.2023.REF2023.EQNR_STK_RESD_CER_PROP_NA_NA_MILL.A</t>
  </si>
  <si>
    <t>Residential Equipment: Equipment Stock: Cooking Equipment: Propane: No Inflation Reduction Act</t>
  </si>
  <si>
    <t>AEO.2023.NOIRA.EQNR_STK_RESD_CER_PROP_NA_NA_MILL.A</t>
  </si>
  <si>
    <t>Residential Equipment: Equipment Stock: Cooking Equipment: Total</t>
  </si>
  <si>
    <t>Residential Equipment: Equipment Stock: Cooking Equipment: Total: Reference case</t>
  </si>
  <si>
    <t>AEO.2023.REF2023.EQNR_STK_RESD_CER_TOT_NA_NA_MILL.A</t>
  </si>
  <si>
    <t>Residential Equipment: Equipment Stock: Cooking Equipment: Total: No Inflation Reduction Act</t>
  </si>
  <si>
    <t>AEO.2023.NOIRA.EQNR_STK_RESD_CER_TOT_NA_NA_MILL.A</t>
  </si>
  <si>
    <t>Clothes Dryers (million units)</t>
  </si>
  <si>
    <t>Residential Equipment: Equipment Stock: Clothes Dryers: Electric</t>
  </si>
  <si>
    <t>Residential Equipment: Equipment Stock: Clothes Dryers: Electric: Reference case</t>
  </si>
  <si>
    <t>AEO.2023.REF2023.EQNR_STK_RESD_CDR_ELE_NA_NA_MILL.A</t>
  </si>
  <si>
    <t>Residential Equipment: Equipment Stock: Clothes Dryers: Electric: No Inflation Reduction Act</t>
  </si>
  <si>
    <t>AEO.2023.NOIRA.EQNR_STK_RESD_CDR_ELE_NA_NA_MILL.A</t>
  </si>
  <si>
    <t>Residential Equipment: Equipment Stock: Clothes Dryers: Natural Gas</t>
  </si>
  <si>
    <t>Residential Equipment: Equipment Stock: Clothes Dryers: Natural Gas: Reference case</t>
  </si>
  <si>
    <t>AEO.2023.REF2023.EQNR_STK_RESD_CDR_NG_NA_NA_MILL.A</t>
  </si>
  <si>
    <t>Residential Equipment: Equipment Stock: Clothes Dryers: Natural Gas: No Inflation Reduction Act</t>
  </si>
  <si>
    <t>AEO.2023.NOIRA.EQNR_STK_RESD_CDR_NG_NA_NA_MILL.A</t>
  </si>
  <si>
    <t>Residential Equipment: Equipment Stock: Clothes Dryers: Total</t>
  </si>
  <si>
    <t>Residential Equipment: Equipment Stock: Clothes Dryers: Total: Reference case</t>
  </si>
  <si>
    <t>AEO.2023.REF2023.EQNR_STK_RESD_CDR_TOT_NA_NA_MILL.A</t>
  </si>
  <si>
    <t>Residential Equipment: Equipment Stock: Clothes Dryers: Total: No Inflation Reduction Act</t>
  </si>
  <si>
    <t>AEO.2023.NOIRA.EQNR_STK_RESD_CDR_TOT_NA_NA_MILL.A</t>
  </si>
  <si>
    <t>Other Appliances (million units)</t>
  </si>
  <si>
    <t>Refrigerators</t>
  </si>
  <si>
    <t>Residential Equipment: Equipment Stock: Other Appliances: Refrigerators</t>
  </si>
  <si>
    <t>Residential Equipment: Equipment Stock: Other Appliances: Refrigerators: Reference case</t>
  </si>
  <si>
    <t>AEO.2023.REF2023.EQNR_STK_RESD_OTAR_RFG_NA_NA_MILL.A</t>
  </si>
  <si>
    <t>Residential Equipment: Equipment Stock: Other Appliances: Refrigerators: No Inflation Reduction Act</t>
  </si>
  <si>
    <t>AEO.2023.NOIRA.EQNR_STK_RESD_OTAR_RFG_NA_NA_MILL.A</t>
  </si>
  <si>
    <t>Freezers</t>
  </si>
  <si>
    <t>Residential Equipment: Equipment Stock: Other Appliances: Freezers</t>
  </si>
  <si>
    <t>Residential Equipment: Equipment Stock: Other Appliances: Freezers: Reference case</t>
  </si>
  <si>
    <t>AEO.2023.REF2023.EQNR_STK_RESD_OTAR_FRZ_NA_NA_MILL.A</t>
  </si>
  <si>
    <t>Residential Equipment: Equipment Stock: Other Appliances: Freezers: No Inflation Reduction Act</t>
  </si>
  <si>
    <t>AEO.2023.NOIRA.EQNR_STK_RESD_OTAR_FRZ_NA_NA_MILL.A</t>
  </si>
  <si>
    <t>Stock Average Equipment Efficiency</t>
  </si>
  <si>
    <t>Electric Heat Pumps (HSPF)</t>
  </si>
  <si>
    <t>Residential Equipment: Stock Average Efficiency: Main Space Heaters: Electric Heat Pumps</t>
  </si>
  <si>
    <t>HSPF</t>
  </si>
  <si>
    <t>Residential Equipment: Stock Average Efficiency: Main Space Heaters: Electric Heat Pumps: Reference case</t>
  </si>
  <si>
    <t>AEO.2023.REF2023.EFI_STK_RESD_SPHR_EHP_NA_NA_HSPF.A</t>
  </si>
  <si>
    <t>Residential Equipment: Stock Average Efficiency: Main Space Heaters: Electric Heat Pumps: No Inflation Reduction Act</t>
  </si>
  <si>
    <t>AEO.2023.NOIRA.EFI_STK_RESD_SPHR_EHP_NA_NA_HSPF.A</t>
  </si>
  <si>
    <t>Natural Gas Heat Pumps (GCOP)</t>
  </si>
  <si>
    <t>Residential Equipment: Stock Average Efficiency: Main Space Heaters: Natural Gas Heat Pumps</t>
  </si>
  <si>
    <t>GCOP</t>
  </si>
  <si>
    <t>Residential Equipment: Stock Average Efficiency: Main Space Heaters: Natural Gas Heat Pumps: Reference case</t>
  </si>
  <si>
    <t>AEO.2023.REF2023.EFI_STK_RESD_SPHR_NHU_NA_NA_GCOP.A</t>
  </si>
  <si>
    <t>Residential Equipment: Stock Average Efficiency: Main Space Heaters: Natural Gas Heat Pumps: No Inflation Reduction Act</t>
  </si>
  <si>
    <t>AEO.2023.NOIRA.EFI_STK_RESD_SPHR_NHU_NA_NA_GCOP.A</t>
  </si>
  <si>
    <t>Geothermal Heat Pumps (COP)</t>
  </si>
  <si>
    <t>Residential Equipment: Stock Average Efficiency: Main Space Heaters: Geothermal Heat Pumps</t>
  </si>
  <si>
    <t>COP</t>
  </si>
  <si>
    <t>Residential Equipment: Stock Average Efficiency: Main Space Heaters: Geothermal Heat Pumps: Reference case</t>
  </si>
  <si>
    <t>AEO.2023.REF2023.EFI_STK_RESD_SPHR_GEHP_NA_NA_COP.A</t>
  </si>
  <si>
    <t>Residential Equipment: Stock Average Efficiency: Main Space Heaters: Geothermal Heat Pumps: No Inflation Reduction Act</t>
  </si>
  <si>
    <t>AEO.2023.NOIRA.EFI_STK_RESD_SPHR_GEHP_NA_NA_COP.A</t>
  </si>
  <si>
    <t>Natural Gas Furnace (AFUE)</t>
  </si>
  <si>
    <t>Residential Equipment: Stock Average Efficiency: Main Space Heaters: Natural Gas Furnace</t>
  </si>
  <si>
    <t>AFUE</t>
  </si>
  <si>
    <t>Residential Equipment: Stock Average Efficiency: Main Space Heaters: Natural Gas Furnace: Reference case</t>
  </si>
  <si>
    <t>AEO.2023.REF2023.EFI_STK_RESD_SPHR_NFR_NA_NA_AFUE.A</t>
  </si>
  <si>
    <t>Residential Equipment: Stock Average Efficiency: Main Space Heaters: Natural Gas Furnace: No Inflation Reduction Act</t>
  </si>
  <si>
    <t>AEO.2023.NOIRA.EFI_STK_RESD_SPHR_NFR_NA_NA_AFUE.A</t>
  </si>
  <si>
    <t>Distillate Furnace (AFUE)</t>
  </si>
  <si>
    <t>Residential Equipment: Stock Average Efficiency: Main Space Heaters: Distillate Furnace</t>
  </si>
  <si>
    <t>Residential Equipment: Stock Average Efficiency: Main Space Heaters: Distillate Furnace: Reference case</t>
  </si>
  <si>
    <t>AEO.2023.REF2023.EFI_STK_RESD_SPHR_DFR_NA_NA_AFUE.A</t>
  </si>
  <si>
    <t>Residential Equipment: Stock Average Efficiency: Main Space Heaters: Distillate Furnace: No Inflation Reduction Act</t>
  </si>
  <si>
    <t>AEO.2023.NOIRA.EFI_STK_RESD_SPHR_DFR_NA_NA_AFUE.A</t>
  </si>
  <si>
    <t>Space Cooling</t>
  </si>
  <si>
    <t>Electric Heat Pumps (SEER)</t>
  </si>
  <si>
    <t>Residential Equipment: Stock Average Efficiency: Space Cooling: Electric Heat Pumps</t>
  </si>
  <si>
    <t>SEER</t>
  </si>
  <si>
    <t>Residential Equipment: Stock Average Efficiency: Space Cooling: Electric Heat Pumps: Reference case</t>
  </si>
  <si>
    <t>AEO.2023.REF2023.EFI_STK_RESD_SPC_EHP_NA_NA_SEER.A</t>
  </si>
  <si>
    <t>Residential Equipment: Stock Average Efficiency: Space Cooling: Electric Heat Pumps: No Inflation Reduction Act</t>
  </si>
  <si>
    <t>AEO.2023.NOIRA.EFI_STK_RESD_SPC_EHP_NA_NA_SEER.A</t>
  </si>
  <si>
    <t>Residential Equipment: Stock Average Efficiency: Space Cooling: Natural Gas Heat Pumps</t>
  </si>
  <si>
    <t>Residential Equipment: Stock Average Efficiency: Space Cooling: Natural Gas Heat Pumps: Reference case</t>
  </si>
  <si>
    <t>AEO.2023.REF2023.EFI_STK_RESD_SPC_NHU_NA_NA_GCOP.A</t>
  </si>
  <si>
    <t>Residential Equipment: Stock Average Efficiency: Space Cooling: Natural Gas Heat Pumps: No Inflation Reduction Act</t>
  </si>
  <si>
    <t>AEO.2023.NOIRA.EFI_STK_RESD_SPC_NHU_NA_NA_GCOP.A</t>
  </si>
  <si>
    <t>Geothermal Heat Pumps (EER)</t>
  </si>
  <si>
    <t>Residential Equipment: Stock Average Efficiency: Space Cooling: Geothermal Heat Pumps</t>
  </si>
  <si>
    <t>EER</t>
  </si>
  <si>
    <t>Residential Equipment: Stock Average Efficiency: Space Cooling: Geothermal Heat Pumps: Reference case</t>
  </si>
  <si>
    <t>AEO.2023.REF2023.EFI_STK_RESD_SPC_GEHP_NA_NA_EER.A</t>
  </si>
  <si>
    <t>Residential Equipment: Stock Average Efficiency: Space Cooling: Geothermal Heat Pumps: No Inflation Reduction Act</t>
  </si>
  <si>
    <t>AEO.2023.NOIRA.EFI_STK_RESD_SPC_GEHP_NA_NA_EER.A</t>
  </si>
  <si>
    <t>Central Air Conditioners (SEER)</t>
  </si>
  <si>
    <t>Residential Equipment: Stock Average Efficiency: Space Cooling: Central Air Conditioners</t>
  </si>
  <si>
    <t>Residential Equipment: Stock Average Efficiency: Space Cooling: Central Air Conditioners: Reference case</t>
  </si>
  <si>
    <t>AEO.2023.REF2023.EFI_STK_RESD_SPC_CAC_NA_NA_SEER.A</t>
  </si>
  <si>
    <t>Residential Equipment: Stock Average Efficiency: Space Cooling: Central Air Conditioners: No Inflation Reduction Act</t>
  </si>
  <si>
    <t>AEO.2023.NOIRA.EFI_STK_RESD_SPC_CAC_NA_NA_SEER.A</t>
  </si>
  <si>
    <t>Room Air Conditioners (EER)</t>
  </si>
  <si>
    <t>Residential Equipment: Stock Average Efficiency: Space Cooling: Room Air Conditioners</t>
  </si>
  <si>
    <t>Residential Equipment: Stock Average Efficiency: Space Cooling: Room Air Conditioners: Reference case</t>
  </si>
  <si>
    <t>AEO.2023.REF2023.EFI_STK_RESD_SPC_RAC_NA_NA_EER.A</t>
  </si>
  <si>
    <t>Residential Equipment: Stock Average Efficiency: Space Cooling: Room Air Conditioners: No Inflation Reduction Act</t>
  </si>
  <si>
    <t>AEO.2023.NOIRA.EFI_STK_RESD_SPC_RAC_NA_NA_EER.A</t>
  </si>
  <si>
    <t>Water Heaters</t>
  </si>
  <si>
    <t>Electric (EF)</t>
  </si>
  <si>
    <t>Residential Equipment: Stock Average Efficiency: Water Heaters: Electric</t>
  </si>
  <si>
    <t>EF</t>
  </si>
  <si>
    <t>Residential Equipment: Stock Average Efficiency: Water Heaters: Electric: Reference case</t>
  </si>
  <si>
    <t>AEO.2023.REF2023.EFI_STK_RESD_WHT_ELE_NA_NA_EF.A</t>
  </si>
  <si>
    <t>Residential Equipment: Stock Average Efficiency: Water Heaters: Electric: No Inflation Reduction Act</t>
  </si>
  <si>
    <t>AEO.2023.NOIRA.EFI_STK_RESD_WHT_ELE_NA_NA_EF.A</t>
  </si>
  <si>
    <t>Natural Gas (EF)</t>
  </si>
  <si>
    <t>Residential Equipment: Stock Average Efficiency: Water Heaters: Natural Gas</t>
  </si>
  <si>
    <t>Residential Equipment: Stock Average Efficiency: Water Heaters: Natural Gas: Reference case</t>
  </si>
  <si>
    <t>AEO.2023.REF2023.EFI_STK_RESD_WHT_NG_NA_NA_EF.A</t>
  </si>
  <si>
    <t>Residential Equipment: Stock Average Efficiency: Water Heaters: Natural Gas: No Inflation Reduction Act</t>
  </si>
  <si>
    <t>AEO.2023.NOIRA.EFI_STK_RESD_WHT_NG_NA_NA_EF.A</t>
  </si>
  <si>
    <t>Distillate Fuel Oil (EF)</t>
  </si>
  <si>
    <t>Residential Equipment: Stock Average Efficiency: Water Heaters: Distillate Fuel Oil</t>
  </si>
  <si>
    <t>Residential Equipment: Stock Average Efficiency: Water Heaters: Distillate Fuel Oil: Reference case</t>
  </si>
  <si>
    <t>AEO.2023.REF2023.EFI_STK_RESD_WHT_DFO_NA_NA_EF.A</t>
  </si>
  <si>
    <t>Residential Equipment: Stock Average Efficiency: Water Heaters: Distillate Fuel Oil: No Inflation Reduction Act</t>
  </si>
  <si>
    <t>AEO.2023.NOIRA.EFI_STK_RESD_WHT_DFO_NA_NA_EF.A</t>
  </si>
  <si>
    <t>Propane (EF)</t>
  </si>
  <si>
    <t>Residential Equipment: Stock Average Efficiency: Water Heaters: Propane</t>
  </si>
  <si>
    <t>Residential Equipment: Stock Average Efficiency: Water Heaters: Propane: Reference case</t>
  </si>
  <si>
    <t>AEO.2023.REF2023.EFI_STK_RESD_WHT_PROP_NA_NA_EF.A</t>
  </si>
  <si>
    <t>Residential Equipment: Stock Average Efficiency: Water Heaters: Propane: No Inflation Reduction Act</t>
  </si>
  <si>
    <t>AEO.2023.NOIRA.EFI_STK_RESD_WHT_PROP_NA_NA_EF.A</t>
  </si>
  <si>
    <t>Other Appliances (kilowatthours per year)</t>
  </si>
  <si>
    <t>Residential Equipment: Stock Average Efficiency: Other Appliances: Refrigerators</t>
  </si>
  <si>
    <t>kWh</t>
  </si>
  <si>
    <t>Residential Equipment: Stock Average Efficiency: Other Appliances: Refrigerators: Reference case</t>
  </si>
  <si>
    <t>AEO.2023.REF2023.EFI_STK_RESD_OTAR_RFG_NA_NA_KWH.A</t>
  </si>
  <si>
    <t>Residential Equipment: Stock Average Efficiency: Other Appliances: Refrigerators: No Inflation Reduction Act</t>
  </si>
  <si>
    <t>AEO.2023.NOIRA.EFI_STK_RESD_OTAR_RFG_NA_NA_KWH.A</t>
  </si>
  <si>
    <t>Residential Equipment: Stock Average Efficiency: Other Appliances: Freezers</t>
  </si>
  <si>
    <t>Residential Equipment: Stock Average Efficiency: Other Appliances: Freezers: Reference case</t>
  </si>
  <si>
    <t>AEO.2023.REF2023.EFI_STK_RESD_OTAR_FRZ_NA_NA_KWH.A</t>
  </si>
  <si>
    <t>Residential Equipment: Stock Average Efficiency: Other Appliances: Freezers: No Inflation Reduction Act</t>
  </si>
  <si>
    <t>AEO.2023.NOIRA.EFI_STK_RESD_OTAR_FRZ_NA_NA_KWH.A</t>
  </si>
  <si>
    <t>Building Shell Efficiency Index</t>
  </si>
  <si>
    <t>Space Heating</t>
  </si>
  <si>
    <t>Pre-2015 Homes</t>
  </si>
  <si>
    <t>Residential Equipment: Building Shell Efficiency Index: Space Heating: Pre-2015 Homes</t>
  </si>
  <si>
    <t>2015=1.00</t>
  </si>
  <si>
    <t>Residential Equipment: Building Shell Efficiency Index: Space Heating: Pre-2015 Homes: Reference case</t>
  </si>
  <si>
    <t>AEO.2023.REF2023.EFI_BSE_RESD_SPH_OLD_NA_NA_Y15EQ1.A</t>
  </si>
  <si>
    <t>Residential Equipment: Building Shell Efficiency Index: Space Heating: Pre-2015 Homes: No Inflation Reduction Act</t>
  </si>
  <si>
    <t>AEO.2023.NOIRA.EFI_BSE_RESD_SPH_OLD_NA_NA_Y15EQ1.A</t>
  </si>
  <si>
    <t>New Construction</t>
  </si>
  <si>
    <t>Residential Equipment: Building Shell Efficiency Index: Space Heating: New Construction</t>
  </si>
  <si>
    <t>Residential Equipment: Building Shell Efficiency Index: Space Heating: New Construction: Reference case</t>
  </si>
  <si>
    <t>AEO.2023.REF2023.EFI_BSE_RESD_SPH_NCO_NA_NA_Y15EQ1.A</t>
  </si>
  <si>
    <t>Residential Equipment: Building Shell Efficiency Index: Space Heating: New Construction: No Inflation Reduction Act</t>
  </si>
  <si>
    <t>AEO.2023.NOIRA.EFI_BSE_RESD_SPH_NCO_NA_NA_Y15EQ1.A</t>
  </si>
  <si>
    <t>All Homes</t>
  </si>
  <si>
    <t>Residential Equipment: Building Shell Efficiency Index: Space Heating: All Homes</t>
  </si>
  <si>
    <t>Residential Equipment: Building Shell Efficiency Index: Space Heating: All Homes: Reference case</t>
  </si>
  <si>
    <t>AEO.2023.REF2023.EFI_BSE_RESD_SPH_AHM_NA_NA_Y15EQ1.A</t>
  </si>
  <si>
    <t>Residential Equipment: Building Shell Efficiency Index: Space Heating: All Homes: No Inflation Reduction Act</t>
  </si>
  <si>
    <t>AEO.2023.NOIRA.EFI_BSE_RESD_SPH_AHM_NA_NA_Y15EQ1.A</t>
  </si>
  <si>
    <t>Residential Equipment: Building Shell Efficiency Index: Space Cooling: Pre-2015 Homes</t>
  </si>
  <si>
    <t>Residential Equipment: Building Shell Efficiency Index: Space Cooling: Pre-2015 Homes: Reference case</t>
  </si>
  <si>
    <t>AEO.2023.REF2023.EFI_BSE_RESD_SPC_OLD_NA_NA_Y15EQ1.A</t>
  </si>
  <si>
    <t>Residential Equipment: Building Shell Efficiency Index: Space Cooling: Pre-2015 Homes: No Inflation Reduction Act</t>
  </si>
  <si>
    <t>AEO.2023.NOIRA.EFI_BSE_RESD_SPC_OLD_NA_NA_Y15EQ1.A</t>
  </si>
  <si>
    <t>Residential Equipment: Building Shell Efficiency Index: Space Cooling: New Construction</t>
  </si>
  <si>
    <t>Residential Equipment: Building Shell Efficiency Index: Space Cooling: New Construction: Reference case</t>
  </si>
  <si>
    <t>AEO.2023.REF2023.EFI_BSE_RESD_SPC_NCO_NA_NA_Y15EQ1.A</t>
  </si>
  <si>
    <t>Residential Equipment: Building Shell Efficiency Index: Space Cooling: New Construction: No Inflation Reduction Act</t>
  </si>
  <si>
    <t>AEO.2023.NOIRA.EFI_BSE_RESD_SPC_NCO_NA_NA_Y15EQ1.A</t>
  </si>
  <si>
    <t>Residential Equipment: Building Shell Efficiency Index: Space Cooling: All Homes</t>
  </si>
  <si>
    <t>Residential Equipment: Building Shell Efficiency Index: Space Cooling: All Homes: Reference case</t>
  </si>
  <si>
    <t>AEO.2023.REF2023.EFI_BSE_RESD_SPC_AHM_NA_NA_Y15EQ1.A</t>
  </si>
  <si>
    <t>Residential Equipment: Building Shell Efficiency Index: Space Cooling: All Homes: No Inflation Reduction Act</t>
  </si>
  <si>
    <t>AEO.2023.NOIRA.EFI_BSE_RESD_SPC_AHM_NA_NA_Y15EQ1.A</t>
  </si>
  <si>
    <t>Distributed Generation and</t>
  </si>
  <si>
    <t>Combined Heat and Power</t>
  </si>
  <si>
    <t>Generating Capacity (gigawatts)</t>
  </si>
  <si>
    <t>Natural Gas Fuel Cells</t>
  </si>
  <si>
    <t>Residential: Combined Heat and Power: Generating Capacity: Fuel Cells</t>
  </si>
  <si>
    <t>GW</t>
  </si>
  <si>
    <t>Residential: Combined Heat and Power: Generating Capacity: Fuel Cells: Reference case</t>
  </si>
  <si>
    <t>AEO.2023.REF2023.CAP_NA_COMM_CHP_FCL_NA_NA_MW.A</t>
  </si>
  <si>
    <t>- -</t>
  </si>
  <si>
    <t>Residential: Combined Heat and Power: Generating Capacity: Fuel Cells: No Inflation Reduction Act</t>
  </si>
  <si>
    <t>AEO.2023.NOIRA.CAP_NA_COMM_CHP_FCL_NA_NA_MW.A</t>
  </si>
  <si>
    <t>Solar Photovoltaic</t>
  </si>
  <si>
    <t>Residential: Combined Heat and Power: Generating Capacity: Solar Photovoltaic</t>
  </si>
  <si>
    <t>Residential: Combined Heat and Power: Generating Capacity: Solar Photovoltaic: Reference case</t>
  </si>
  <si>
    <t>AEO.2023.REF2023.CAP_NA_RESD_CHP_SLR_PHTVL_NA_MW.A</t>
  </si>
  <si>
    <t>Residential: Combined Heat and Power: Generating Capacity: Solar Photovoltaic: No Inflation Reduction Act</t>
  </si>
  <si>
    <t>AEO.2023.NOIRA.CAP_NA_RESD_CHP_SLR_PHTVL_NA_MW.A</t>
  </si>
  <si>
    <t>Wind</t>
  </si>
  <si>
    <t>Residential: Combined Heat and Power: Generating Capacity: Wind</t>
  </si>
  <si>
    <t>Residential: Combined Heat and Power: Generating Capacity: Wind: Reference case</t>
  </si>
  <si>
    <t>AEO.2023.REF2023.CAP_NA_RESD_CHP_WND_NA_NA_MW.A</t>
  </si>
  <si>
    <t>Residential: Combined Heat and Power: Generating Capacity: Wind: No Inflation Reduction Act</t>
  </si>
  <si>
    <t>AEO.2023.NOIRA.CAP_NA_RESD_CHP_WND_NA_NA_MW.A</t>
  </si>
  <si>
    <t>Residential: Combined Heat and Power: Generating Capacity: Total</t>
  </si>
  <si>
    <t>Residential: Combined Heat and Power: Generating Capacity: Total: Reference case</t>
  </si>
  <si>
    <t>AEO.2023.REF2023.CAP_NA_RESD_CHP_TOT_NA_NA_MW.A</t>
  </si>
  <si>
    <t>Residential: Combined Heat and Power: Generating Capacity: Total: No Inflation Reduction Act</t>
  </si>
  <si>
    <t>AEO.2023.NOIRA.CAP_NA_RESD_CHP_TOT_NA_NA_MW.A</t>
  </si>
  <si>
    <t>Net Generation (billion kilowatthours)</t>
  </si>
  <si>
    <t>Residential: Combined Heat and Power: Net Generation: Fuel Cells</t>
  </si>
  <si>
    <t>billion kWh</t>
  </si>
  <si>
    <t>Residential: Combined Heat and Power: Net Generation: Fuel Cells: Reference case</t>
  </si>
  <si>
    <t>AEO.2023.REF2023.GEN_NA_COMM_CHP_FCL_NA_NA_MILLKWH.A</t>
  </si>
  <si>
    <t>Residential: Combined Heat and Power: Net Generation: Fuel Cells: No Inflation Reduction Act</t>
  </si>
  <si>
    <t>AEO.2023.NOIRA.GEN_NA_COMM_CHP_FCL_NA_NA_MILLKWH.A</t>
  </si>
  <si>
    <t>Residential: Combined Heat and Power: Net Generation: Solar Photovoltaic</t>
  </si>
  <si>
    <t>Residential: Combined Heat and Power: Net Generation: Solar Photovoltaic: Reference case</t>
  </si>
  <si>
    <t>AEO.2023.REF2023.GEN_NA_COMM_CHP_SLR_PHTVL_NA_MILLKWH.A</t>
  </si>
  <si>
    <t>Residential: Combined Heat and Power: Net Generation: Solar Photovoltaic: No Inflation Reduction Act</t>
  </si>
  <si>
    <t>AEO.2023.NOIRA.GEN_NA_COMM_CHP_SLR_PHTVL_NA_MILLKWH.A</t>
  </si>
  <si>
    <t>Residential: Combined Heat and Power: Net Generation: Wind</t>
  </si>
  <si>
    <t>Residential: Combined Heat and Power: Net Generation: Wind: Reference case</t>
  </si>
  <si>
    <t>AEO.2023.REF2023.GEN_NA_COMM_CHP_WND_NA_NA_MILLKWH.A</t>
  </si>
  <si>
    <t>Residential: Combined Heat and Power: Net Generation: Wind: No Inflation Reduction Act</t>
  </si>
  <si>
    <t>AEO.2023.NOIRA.GEN_NA_COMM_CHP_WND_NA_NA_MILLKWH.A</t>
  </si>
  <si>
    <t>Residential: Combined Heat and Power: Net Generation: Total</t>
  </si>
  <si>
    <t>Residential: Combined Heat and Power: Net Generation: Total: Reference case</t>
  </si>
  <si>
    <t>AEO.2023.REF2023.GEN_NA_COMM_CHP_TOT_NA_NA_MILLKWH.A</t>
  </si>
  <si>
    <t>Residential: Combined Heat and Power: Net Generation: Total: No Inflation Reduction Act</t>
  </si>
  <si>
    <t>AEO.2023.NOIRA.GEN_NA_COMM_CHP_TOT_NA_NA_MILLKWH.A</t>
  </si>
  <si>
    <t>Disposition</t>
  </si>
  <si>
    <t>Sales to the Grid</t>
  </si>
  <si>
    <t>Residential: Combined Heat and Power: Net Generation: Sales to the Grid</t>
  </si>
  <si>
    <t>Residential: Combined Heat and Power: Net Generation: Sales to the Grid: Reference case</t>
  </si>
  <si>
    <t>AEO.2023.REF2023.GEN_NA_COMM_CHP_STG_NA_NA_MILLKWH.A</t>
  </si>
  <si>
    <t>Residential: Combined Heat and Power: Net Generation: Sales to the Grid: No Inflation Reduction Act</t>
  </si>
  <si>
    <t>AEO.2023.NOIRA.GEN_NA_COMM_CHP_STG_NA_NA_MILLKWH.A</t>
  </si>
  <si>
    <t>Generation for Own Use</t>
  </si>
  <si>
    <t>Residential: Combined Heat and Power: Net Generation: Generation for Own Use</t>
  </si>
  <si>
    <t>Residential: Combined Heat and Power: Net Generation: Generation for Own Use: Reference case</t>
  </si>
  <si>
    <t>AEO.2023.REF2023.GEN_NA_COMM_CHP_GFO_NA_NA_MILLKWH.A</t>
  </si>
  <si>
    <t>Residential: Combined Heat and Power: Net Generation: Generation for Own Use: No Inflation Reduction Act</t>
  </si>
  <si>
    <t>AEO.2023.NOIRA.GEN_NA_COMM_CHP_GFO_NA_NA_MILLKWH.A</t>
  </si>
  <si>
    <t>Energy Input (trillion Btu)</t>
  </si>
  <si>
    <t>Residential: Combined Heat and Power: Energy Input: Fuel Cells</t>
  </si>
  <si>
    <t>trillion Btu</t>
  </si>
  <si>
    <t>Residential: Combined Heat and Power: Energy Input: Fuel Cells: Reference case</t>
  </si>
  <si>
    <t>AEO.2023.REF2023.CNSM_NA_COMM_CHP_FCL_NA_NA_TRLBTU.A</t>
  </si>
  <si>
    <t>Residential: Combined Heat and Power: Energy Input: Fuel Cells: No Inflation Reduction Act</t>
  </si>
  <si>
    <t>AEO.2023.NOIRA.CNSM_NA_COMM_CHP_FCL_NA_NA_TRLBTU.A</t>
  </si>
  <si>
    <t>Residential: Combined Heat and Power: Energy Input: Solar Photovoltaic</t>
  </si>
  <si>
    <t>Residential: Combined Heat and Power: Energy Input: Solar Photovoltaic: Reference case</t>
  </si>
  <si>
    <t>AEO.2023.REF2023.CNSM_NA_COMM_CHP_SLR_PHTVL_NA_TRLBTU.A</t>
  </si>
  <si>
    <t>Residential: Combined Heat and Power: Energy Input: Solar Photovoltaic: No Inflation Reduction Act</t>
  </si>
  <si>
    <t>AEO.2023.NOIRA.CNSM_NA_COMM_CHP_SLR_PHTVL_NA_TRLBTU.A</t>
  </si>
  <si>
    <t>Residential: Combined Heat and Power: Energy Input: Wind</t>
  </si>
  <si>
    <t>Residential: Combined Heat and Power: Energy Input: Wind: Reference case</t>
  </si>
  <si>
    <t>AEO.2023.REF2023.CNSM_NA_COMM_CHP_WND_NA_NA_TRLBTU.A</t>
  </si>
  <si>
    <t>Residential: Combined Heat and Power: Energy Input: Wind: No Inflation Reduction Act</t>
  </si>
  <si>
    <t>AEO.2023.NOIRA.CNSM_NA_COMM_CHP_WND_NA_NA_TRLBTU.A</t>
  </si>
  <si>
    <t>Residential: Combined Heat and Power: Energy Input: Total</t>
  </si>
  <si>
    <t>Residential: Combined Heat and Power: Energy Input: Total: Reference case</t>
  </si>
  <si>
    <t>AEO.2023.REF2023.CNSM_NA_COMM_CHP_TOT_NA_NA_TRLBTU.A</t>
  </si>
  <si>
    <t>Residential: Combined Heat and Power: Energy Input: Total: No Inflation Reduction Act</t>
  </si>
  <si>
    <t>AEO.2023.NOIRA.CNSM_NA_COMM_CHP_TOT_NA_NA_TRLBTU.A</t>
  </si>
  <si>
    <t>Rooftop solar</t>
  </si>
  <si>
    <t>(EJ)</t>
  </si>
  <si>
    <t>Table 22.  Commercial Sector Energy Consumption, Floorspace, Equipment Efficiency, and Distributed Generation</t>
  </si>
  <si>
    <t>https://www.eia.gov/outlooks/aeo/data/browser/#/?id=32-AEO2023&amp;region=0-0&amp;cases=ref2023~noIRA&amp;start=2021&amp;end=2050&amp;f=Q&amp;linechart=ref2023-d020623a.4-32-AEO2023~noIRA-d020623a.4-32-AEO2023&amp;sourcekey=0</t>
  </si>
  <si>
    <t>Mon Apr 24 2023 18:43:28 GMT-0400 (Eastern Daylight Time)</t>
  </si>
  <si>
    <t>Commercial Building Delivered</t>
  </si>
  <si>
    <t>Energy Consumption (quadrillion Btu)</t>
  </si>
  <si>
    <t>Assembly</t>
  </si>
  <si>
    <t>Commercial: Gross End-use: Assembly</t>
  </si>
  <si>
    <t>quads</t>
  </si>
  <si>
    <t>Commercial: Gross End-use: Assembly: Reference case</t>
  </si>
  <si>
    <t>AEO.2023.REF2023.#N/A.A</t>
  </si>
  <si>
    <t>Commercial: Gross End-use: Assembly: No Inflation Reduction Act</t>
  </si>
  <si>
    <t>AEO.2023.NOIRA.#N/A.A</t>
  </si>
  <si>
    <t>Education</t>
  </si>
  <si>
    <t>Commercial: Gross End-use: Education</t>
  </si>
  <si>
    <t>Commercial: Gross End-use: Education: Reference case</t>
  </si>
  <si>
    <t>Commercial: Gross End-use: Education: No Inflation Reduction Act</t>
  </si>
  <si>
    <t>Food Sales</t>
  </si>
  <si>
    <t>Commercial: Gross End-use: Food Sales</t>
  </si>
  <si>
    <t>Commercial: Gross End-use: Food Sales: Reference case</t>
  </si>
  <si>
    <t>Commercial: Gross End-use: Food Sales: No Inflation Reduction Act</t>
  </si>
  <si>
    <t>Food Service</t>
  </si>
  <si>
    <t>Commercial: Gross End-use: Food Service</t>
  </si>
  <si>
    <t>Commercial: Gross End-use: Food Service: Reference case</t>
  </si>
  <si>
    <t>Commercial: Gross End-use: Food Service: No Inflation Reduction Act</t>
  </si>
  <si>
    <t>Health Care</t>
  </si>
  <si>
    <t>Commercial: Gross End-use: Health Care</t>
  </si>
  <si>
    <t>Commercial: Gross End-use: Health Care: Reference case</t>
  </si>
  <si>
    <t>Commercial: Gross End-use: Health Care: No Inflation Reduction Act</t>
  </si>
  <si>
    <t>Lodging</t>
  </si>
  <si>
    <t>Commercial: Gross End-use: Lodging</t>
  </si>
  <si>
    <t>Commercial: Gross End-use: Lodging: Reference case</t>
  </si>
  <si>
    <t>Commercial: Gross End-use: Lodging: No Inflation Reduction Act</t>
  </si>
  <si>
    <t>Office - Large</t>
  </si>
  <si>
    <t>Commercial: Gross End-use: Office - Large</t>
  </si>
  <si>
    <t>Commercial: Gross End-use: Office - Large: Reference case</t>
  </si>
  <si>
    <t>Commercial: Gross End-use: Office - Large: No Inflation Reduction Act</t>
  </si>
  <si>
    <t>Office - Small</t>
  </si>
  <si>
    <t>Commercial: Gross End-use: Office - Small</t>
  </si>
  <si>
    <t>Commercial: Gross End-use: Office - Small: Reference case</t>
  </si>
  <si>
    <t>Commercial: Gross End-use: Office - Small: No Inflation Reduction Act</t>
  </si>
  <si>
    <t>Mercantile/Service</t>
  </si>
  <si>
    <t>Commercial: Gross End-use: Mercantile/Service</t>
  </si>
  <si>
    <t>Commercial: Gross End-use: Mercantile/Service: Reference case</t>
  </si>
  <si>
    <t>Commercial: Gross End-use: Mercantile/Service: No Inflation Reduction Act</t>
  </si>
  <si>
    <t>Warehouse</t>
  </si>
  <si>
    <t>Commercial: Gross End-use: Warehouse</t>
  </si>
  <si>
    <t>Commercial: Gross End-use: Warehouse: Reference case</t>
  </si>
  <si>
    <t>Commercial: Gross End-use: Warehouse: No Inflation Reduction Act</t>
  </si>
  <si>
    <t>Other</t>
  </si>
  <si>
    <t>Commercial: Gross End-use: Other</t>
  </si>
  <si>
    <t>Commercial: Gross End-use: Other: Reference case</t>
  </si>
  <si>
    <t>Commercial: Gross End-use: Other: No Inflation Reduction Act</t>
  </si>
  <si>
    <t>Commercial: Gross End-use: Total</t>
  </si>
  <si>
    <t>Commercial: Gross End-use: Total: Reference case</t>
  </si>
  <si>
    <t>Commercial: Gross End-use: Total: No Inflation Reduction Act</t>
  </si>
  <si>
    <t>Commercial Building Floorspace</t>
  </si>
  <si>
    <t>(billion square feet)</t>
  </si>
  <si>
    <t>Commercial: Floorspace: Assembly</t>
  </si>
  <si>
    <t>billion sq ft</t>
  </si>
  <si>
    <t>Commercial: Floorspace: Assembly: Reference case</t>
  </si>
  <si>
    <t>AEO.2023.REF2023.KEI_FLR_COMM_ASB_NA_NA_NA_BLNSQFT.A</t>
  </si>
  <si>
    <t>Commercial: Floorspace: Assembly: No Inflation Reduction Act</t>
  </si>
  <si>
    <t>AEO.2023.NOIRA.KEI_FLR_COMM_ASB_NA_NA_NA_BLNSQFT.A</t>
  </si>
  <si>
    <t>Commercial: Floorspace: Education</t>
  </si>
  <si>
    <t>Commercial: Floorspace: Education: Reference case</t>
  </si>
  <si>
    <t>AEO.2023.REF2023.KEI_FLR_COMM_EDD_NA_NA_NA_BLNSQFT.A</t>
  </si>
  <si>
    <t>Commercial: Floorspace: Education: No Inflation Reduction Act</t>
  </si>
  <si>
    <t>AEO.2023.NOIRA.KEI_FLR_COMM_EDD_NA_NA_NA_BLNSQFT.A</t>
  </si>
  <si>
    <t>Commercial: Floorspace: Food Sales</t>
  </si>
  <si>
    <t>Commercial: Floorspace: Food Sales: Reference case</t>
  </si>
  <si>
    <t>AEO.2023.REF2023.KEI_FLR_COMM_FDSA_NA_NA_NA_BLNSQFT.A</t>
  </si>
  <si>
    <t>Commercial: Floorspace: Food Sales: No Inflation Reduction Act</t>
  </si>
  <si>
    <t>AEO.2023.NOIRA.KEI_FLR_COMM_FDSA_NA_NA_NA_BLNSQFT.A</t>
  </si>
  <si>
    <t>Commercial: Floorspace: Food Service</t>
  </si>
  <si>
    <t>Commercial: Floorspace: Food Service: Reference case</t>
  </si>
  <si>
    <t>AEO.2023.REF2023.KEI_FLR_COMM_FSC_NA_NA_NA_BLNSQFT.A</t>
  </si>
  <si>
    <t>Commercial: Floorspace: Food Service: No Inflation Reduction Act</t>
  </si>
  <si>
    <t>AEO.2023.NOIRA.KEI_FLR_COMM_FSC_NA_NA_NA_BLNSQFT.A</t>
  </si>
  <si>
    <t>Commercial: Floorspace: Health Care</t>
  </si>
  <si>
    <t>Commercial: Floorspace: Health Care: Reference case</t>
  </si>
  <si>
    <t>AEO.2023.REF2023.KEI_FLR_COMM_HLC_NA_NA_NA_BLNSQFT.A</t>
  </si>
  <si>
    <t>Commercial: Floorspace: Health Care: No Inflation Reduction Act</t>
  </si>
  <si>
    <t>AEO.2023.NOIRA.KEI_FLR_COMM_HLC_NA_NA_NA_BLNSQFT.A</t>
  </si>
  <si>
    <t>Commercial: Floorspace: Lodging</t>
  </si>
  <si>
    <t>Commercial: Floorspace: Lodging: Reference case</t>
  </si>
  <si>
    <t>AEO.2023.REF2023.KEI_FLR_COMM_LGC_NA_NA_NA_BLNSQFT.A</t>
  </si>
  <si>
    <t>Commercial: Floorspace: Lodging: No Inflation Reduction Act</t>
  </si>
  <si>
    <t>AEO.2023.NOIRA.KEI_FLR_COMM_LGC_NA_NA_NA_BLNSQFT.A</t>
  </si>
  <si>
    <t>Commercial: Floorspace: Office - Large</t>
  </si>
  <si>
    <t>Commercial: Floorspace: Office - Large: Reference case</t>
  </si>
  <si>
    <t>AEO.2023.REF2023.KEI_FLR_COMM_OFLC_NA_NA_NA_BLNSQFT.A</t>
  </si>
  <si>
    <t>Commercial: Floorspace: Office - Large: No Inflation Reduction Act</t>
  </si>
  <si>
    <t>AEO.2023.NOIRA.KEI_FLR_COMM_OFLC_NA_NA_NA_BLNSQFT.A</t>
  </si>
  <si>
    <t>Commercial: Floorspace: Office - Small</t>
  </si>
  <si>
    <t>Commercial: Floorspace: Office - Small: Reference case</t>
  </si>
  <si>
    <t>AEO.2023.REF2023.KEI_FLR_COMM_OFSC_NA_NA_NA_BLNSQFT.A</t>
  </si>
  <si>
    <t>Commercial: Floorspace: Office - Small: No Inflation Reduction Act</t>
  </si>
  <si>
    <t>AEO.2023.NOIRA.KEI_FLR_COMM_OFSC_NA_NA_NA_BLNSQFT.A</t>
  </si>
  <si>
    <t>Commercial: Floorspace: Mercantile/Service</t>
  </si>
  <si>
    <t>Commercial: Floorspace: Mercantile/Service: Reference case</t>
  </si>
  <si>
    <t>AEO.2023.REF2023.KEI_FLR_COMM_MCSC_NA_NA_NA_BLNSQFT.A</t>
  </si>
  <si>
    <t>Commercial: Floorspace: Mercantile/Service: No Inflation Reduction Act</t>
  </si>
  <si>
    <t>AEO.2023.NOIRA.KEI_FLR_COMM_MCSC_NA_NA_NA_BLNSQFT.A</t>
  </si>
  <si>
    <t>Commercial: Floorspace: Warehouse</t>
  </si>
  <si>
    <t>Commercial: Floorspace: Warehouse: Reference case</t>
  </si>
  <si>
    <t>AEO.2023.REF2023.KEI_FLR_COMM_WHRC_NA_NA_NA_BLNSQFT.A</t>
  </si>
  <si>
    <t>Commercial: Floorspace: Warehouse: No Inflation Reduction Act</t>
  </si>
  <si>
    <t>AEO.2023.NOIRA.KEI_FLR_COMM_WHRC_NA_NA_NA_BLNSQFT.A</t>
  </si>
  <si>
    <t>Commercial: Floorspace: Other</t>
  </si>
  <si>
    <t>Commercial: Floorspace: Other: Reference case</t>
  </si>
  <si>
    <t>AEO.2023.REF2023.KEI_FLR_COMM_OTHU_NA_NA_NA_BLNSQFT.A</t>
  </si>
  <si>
    <t>Commercial: Floorspace: Other: No Inflation Reduction Act</t>
  </si>
  <si>
    <t>AEO.2023.NOIRA.KEI_FLR_COMM_OTHU_NA_NA_NA_BLNSQFT.A</t>
  </si>
  <si>
    <t>Commercial: Floorspace: Total</t>
  </si>
  <si>
    <t>Commercial: Floorspace: Total: Reference case</t>
  </si>
  <si>
    <t>AEO.2023.REF2023.KEI_FLR_COMM_NA_NA_NA_NA_BLNSQFT.A</t>
  </si>
  <si>
    <t>Commercial: Floorspace: Total: No Inflation Reduction Act</t>
  </si>
  <si>
    <t>AEO.2023.NOIRA.KEI_FLR_COMM_NA_NA_NA_NA_BLNSQFT.A</t>
  </si>
  <si>
    <t>Electricity</t>
  </si>
  <si>
    <t>Commercial: Stock Average Efficiency: Space Heating: Electricity</t>
  </si>
  <si>
    <t>Btu Out/Btu In</t>
  </si>
  <si>
    <t>Commercial: Stock Average Efficiency: Space Heating: Electricity: Reference case</t>
  </si>
  <si>
    <t>AEO.2023.REF2023.EFF_STKE_COMM_SPH_ELC_NA_NA_BTUOTPBTUIN.A</t>
  </si>
  <si>
    <t>Commercial: Stock Average Efficiency: Space Heating: Electricity: No Inflation Reduction Act</t>
  </si>
  <si>
    <t>AEO.2023.NOIRA.EFF_STKE_COMM_SPH_ELC_NA_NA_BTUOTPBTUIN.A</t>
  </si>
  <si>
    <t>Commercial: Stock Average Efficiency: Space Heating: Natural Gas</t>
  </si>
  <si>
    <t>Commercial: Stock Average Efficiency: Space Heating: Natural Gas: Reference case</t>
  </si>
  <si>
    <t>AEO.2023.REF2023.EFF_STKE_COMM_SPH_NG_NA_NA_BTUOTPBTUIN.A</t>
  </si>
  <si>
    <t>Commercial: Stock Average Efficiency: Space Heating: Natural Gas: No Inflation Reduction Act</t>
  </si>
  <si>
    <t>AEO.2023.NOIRA.EFF_STKE_COMM_SPH_NG_NA_NA_BTUOTPBTUIN.A</t>
  </si>
  <si>
    <t>Commercial: Stock Average Efficiency: Space Heating: Distillate Fuel Oil</t>
  </si>
  <si>
    <t>Commercial: Stock Average Efficiency: Space Heating: Distillate Fuel Oil: Reference case</t>
  </si>
  <si>
    <t>AEO.2023.REF2023.EFF_STKE_COMM_SPH_DFO_NA_NA_BTUOTPBTUIN.A</t>
  </si>
  <si>
    <t>Commercial: Stock Average Efficiency: Space Heating: Distillate Fuel Oil: No Inflation Reduction Act</t>
  </si>
  <si>
    <t>AEO.2023.NOIRA.EFF_STKE_COMM_SPH_DFO_NA_NA_BTUOTPBTUIN.A</t>
  </si>
  <si>
    <t>Commercial: Stock Average Efficiency: Space Cooling: Electricity</t>
  </si>
  <si>
    <t>Commercial: Stock Average Efficiency: Space Cooling: Electricity: Reference case</t>
  </si>
  <si>
    <t>AEO.2023.REF2023.EFF_STKE_COMM_SPC_ELC_NA_NA_BTUOTPBTUIN.A</t>
  </si>
  <si>
    <t>Commercial: Stock Average Efficiency: Space Cooling: Electricity: No Inflation Reduction Act</t>
  </si>
  <si>
    <t>AEO.2023.NOIRA.EFF_STKE_COMM_SPC_ELC_NA_NA_BTUOTPBTUIN.A</t>
  </si>
  <si>
    <t>Commercial: Stock Average Efficiency: Space Cooling: Natural Gas</t>
  </si>
  <si>
    <t>Commercial: Stock Average Efficiency: Space Cooling: Natural Gas: Reference case</t>
  </si>
  <si>
    <t>AEO.2023.REF2023.EFF_STKE_COMM_SPC_NG_NA_NA_BTUOTPBTUIN.A</t>
  </si>
  <si>
    <t>Commercial: Stock Average Efficiency: Space Cooling: Natural Gas: No Inflation Reduction Act</t>
  </si>
  <si>
    <t>AEO.2023.NOIRA.EFF_STKE_COMM_SPC_NG_NA_NA_BTUOTPBTUIN.A</t>
  </si>
  <si>
    <t>Water Heating</t>
  </si>
  <si>
    <t>Commercial: Stock Average Efficiency: Water Heating: Electricity</t>
  </si>
  <si>
    <t>Commercial: Stock Average Efficiency: Water Heating: Electricity: Reference case</t>
  </si>
  <si>
    <t>AEO.2023.REF2023.EFF_STKE_COMM_WTHT_ELC_NA_NA_BTUOTPBTUIN.A</t>
  </si>
  <si>
    <t>Commercial: Stock Average Efficiency: Water Heating: Electricity: No Inflation Reduction Act</t>
  </si>
  <si>
    <t>AEO.2023.NOIRA.EFF_STKE_COMM_WTHT_ELC_NA_NA_BTUOTPBTUIN.A</t>
  </si>
  <si>
    <t>Commercial: Stock Average Efficiency: Water Heating: Natural Gas</t>
  </si>
  <si>
    <t>Commercial: Stock Average Efficiency: Water Heating: Natural Gas: Reference case</t>
  </si>
  <si>
    <t>AEO.2023.REF2023.EFF_STKE_COMM_WTHT_NG_NA_NA_BTUOTPBTUIN.A</t>
  </si>
  <si>
    <t>Commercial: Stock Average Efficiency: Water Heating: Natural Gas: No Inflation Reduction Act</t>
  </si>
  <si>
    <t>AEO.2023.NOIRA.EFF_STKE_COMM_WTHT_NG_NA_NA_BTUOTPBTUIN.A</t>
  </si>
  <si>
    <t>Commercial: Stock Average Efficiency: Water Heating: Distillate Fuel Oil</t>
  </si>
  <si>
    <t>Commercial: Stock Average Efficiency: Water Heating: Distillate Fuel Oil: Reference case</t>
  </si>
  <si>
    <t>AEO.2023.REF2023.EFF_STKE_COMM_WTHT_DFO_NA_NA_BTUOTPBTUIN.A</t>
  </si>
  <si>
    <t>Commercial: Stock Average Efficiency: Water Heating: Distillate Fuel Oil: No Inflation Reduction Act</t>
  </si>
  <si>
    <t>AEO.2023.NOIRA.EFF_STKE_COMM_WTHT_DFO_NA_NA_BTUOTPBTUIN.A</t>
  </si>
  <si>
    <t>Ventilation (cubic feet per minute per Btu)</t>
  </si>
  <si>
    <t>Commercial: Stock Average Efficiency: Ventilation: Electricity</t>
  </si>
  <si>
    <t>cu ft/minute/Btu</t>
  </si>
  <si>
    <t>Commercial: Stock Average Efficiency: Ventilation: Electricity: Reference case</t>
  </si>
  <si>
    <t>AEO.2023.REF2023.EFF_STKE_COMM_VNTC_ELC_NA_NA_CUFTPMINPBTU.A</t>
  </si>
  <si>
    <t>Commercial: Stock Average Efficiency: Ventilation: Electricity: No Inflation Reduction Act</t>
  </si>
  <si>
    <t>AEO.2023.NOIRA.EFF_STKE_COMM_VNTC_ELC_NA_NA_CUFTPMINPBTU.A</t>
  </si>
  <si>
    <t>Cooking</t>
  </si>
  <si>
    <t>Commercial: Stock Average Efficiency: Cooking: Electricity</t>
  </si>
  <si>
    <t>Commercial: Stock Average Efficiency: Cooking: Electricity: Reference case</t>
  </si>
  <si>
    <t>AEO.2023.REF2023.EFF_STKE_COMM_CGR_ELC_NA_NA_BTUOTPBTUIN.A</t>
  </si>
  <si>
    <t>Commercial: Stock Average Efficiency: Cooking: Electricity: No Inflation Reduction Act</t>
  </si>
  <si>
    <t>AEO.2023.NOIRA.EFF_STKE_COMM_CGR_ELC_NA_NA_BTUOTPBTUIN.A</t>
  </si>
  <si>
    <t>Commercial: Stock Average Efficiency: Cooking: Natural Gas</t>
  </si>
  <si>
    <t>Commercial: Stock Average Efficiency: Cooking: Natural Gas: Reference case</t>
  </si>
  <si>
    <t>AEO.2023.REF2023.EFF_STKE_COMM_CGR_NG_NA_NA_BTUOTPBTUIN.A</t>
  </si>
  <si>
    <t>Commercial: Stock Average Efficiency: Cooking: Natural Gas: No Inflation Reduction Act</t>
  </si>
  <si>
    <t>AEO.2023.NOIRA.EFF_STKE_COMM_CGR_NG_NA_NA_BTUOTPBTUIN.A</t>
  </si>
  <si>
    <t>Lighting Efficacy</t>
  </si>
  <si>
    <t>(efficacy in lumens per watt)</t>
  </si>
  <si>
    <t>Commercial: Stock Average Efficiency: Lighting Efficacy: Electricity</t>
  </si>
  <si>
    <t>lumens/watt</t>
  </si>
  <si>
    <t>Commercial: Stock Average Efficiency: Lighting Efficacy: Electricity: Reference case</t>
  </si>
  <si>
    <t>AEO.2023.REF2023.EFF_STKE_COMM_LGHTNG_ELC_NA_NA_LMNPWATT.A</t>
  </si>
  <si>
    <t>Commercial: Stock Average Efficiency: Lighting Efficacy: Electricity: No Inflation Reduction Act</t>
  </si>
  <si>
    <t>AEO.2023.NOIRA.EFF_STKE_COMM_LGHTNG_ELC_NA_NA_LMNPWATT.A</t>
  </si>
  <si>
    <t>Refrigeration</t>
  </si>
  <si>
    <t>Commercial: Stock Average Efficiency: Refrigeration: Electricity</t>
  </si>
  <si>
    <t>Commercial: Stock Average Efficiency: Refrigeration: Electricity: Reference case</t>
  </si>
  <si>
    <t>AEO.2023.REF2023.EFF_STKE_COMM_REFR_ELC_NA_NA_BTUOTPBTUIN.A</t>
  </si>
  <si>
    <t>Commercial: Stock Average Efficiency: Refrigeration: Electricity: No Inflation Reduction Act</t>
  </si>
  <si>
    <t>AEO.2023.NOIRA.EFF_STKE_COMM_REFR_ELC_NA_NA_BTUOTPBTUIN.A</t>
  </si>
  <si>
    <t>Petroleum</t>
  </si>
  <si>
    <t>Commercial: Combined Heat and Power: Generating Capacity: Petroleum</t>
  </si>
  <si>
    <t>Commercial: Combined Heat and Power: Generating Capacity: Petroleum: Reference case</t>
  </si>
  <si>
    <t>AEO.2023.REF2023.CAP_NA_COMM_CHP_PET_NA_NA_MW.A</t>
  </si>
  <si>
    <t>Commercial: Combined Heat and Power: Generating Capacity: Petroleum: No Inflation Reduction Act</t>
  </si>
  <si>
    <t>AEO.2023.NOIRA.CAP_NA_COMM_CHP_PET_NA_NA_MW.A</t>
  </si>
  <si>
    <t>Commercial: Combined Heat and Power: Generating Capacity: Natural Gas</t>
  </si>
  <si>
    <t>Commercial: Combined Heat and Power: Generating Capacity: Natural Gas: Reference case</t>
  </si>
  <si>
    <t>AEO.2023.REF2023.CAP_NA_COMM_CHP_NG_NA_NA_MW.A</t>
  </si>
  <si>
    <t>Commercial: Combined Heat and Power: Generating Capacity: Natural Gas: No Inflation Reduction Act</t>
  </si>
  <si>
    <t>AEO.2023.NOIRA.CAP_NA_COMM_CHP_NG_NA_NA_MW.A</t>
  </si>
  <si>
    <t>Commercial: Combined Heat and Power: Generating Capacity: Solar Photovoltaic</t>
  </si>
  <si>
    <t>Commercial: Combined Heat and Power: Generating Capacity: Solar Photovoltaic: Reference case</t>
  </si>
  <si>
    <t>AEO.2023.REF2023.CAP_NA_COMM_CHP_SLR_PHTVL_NA_MW.A</t>
  </si>
  <si>
    <t>Commercial: Combined Heat and Power: Generating Capacity: Solar Photovoltaic: No Inflation Reduction Act</t>
  </si>
  <si>
    <t>AEO.2023.NOIRA.CAP_NA_COMM_CHP_SLR_PHTVL_NA_MW.A</t>
  </si>
  <si>
    <t>Commercial: Combined Heat and Power: Generating Capacity: Wind</t>
  </si>
  <si>
    <t>Commercial: Combined Heat and Power: Generating Capacity: Wind: Reference case</t>
  </si>
  <si>
    <t>AEO.2023.REF2023.CAP_NA_COMM_CHP_WND_NA_NA_MW.A</t>
  </si>
  <si>
    <t>Commercial: Combined Heat and Power: Generating Capacity: Wind: No Inflation Reduction Act</t>
  </si>
  <si>
    <t>AEO.2023.NOIRA.CAP_NA_COMM_CHP_WND_NA_NA_MW.A</t>
  </si>
  <si>
    <t>Commercial: Combined Heat and Power: Generating Capacity: Other</t>
  </si>
  <si>
    <t>Commercial: Combined Heat and Power: Generating Capacity: Other: Reference case</t>
  </si>
  <si>
    <t>AEO.2023.REF2023.CAP_NA_COMM_CHP_OTH_NA_NA_MW.A</t>
  </si>
  <si>
    <t>Commercial: Combined Heat and Power: Generating Capacity: Other: No Inflation Reduction Act</t>
  </si>
  <si>
    <t>AEO.2023.NOIRA.CAP_NA_COMM_CHP_OTH_NA_NA_MW.A</t>
  </si>
  <si>
    <t>Commercial: Combined Heat and Power: Generating Capacity: Total</t>
  </si>
  <si>
    <t>Commercial: Combined Heat and Power: Generating Capacity: Total: Reference case</t>
  </si>
  <si>
    <t>AEO.2023.REF2023.CAP_NA_COMM_CHP_TOT_NA_NA_MW.A</t>
  </si>
  <si>
    <t>Commercial: Combined Heat and Power: Generating Capacity: Total: No Inflation Reduction Act</t>
  </si>
  <si>
    <t>AEO.2023.NOIRA.CAP_NA_COMM_CHP_TOT_NA_NA_MW.A</t>
  </si>
  <si>
    <t>Commercial: Combined Heat and Power: Net Generation: Petroleum</t>
  </si>
  <si>
    <t>Commercial: Combined Heat and Power: Net Generation: Petroleum: Reference case</t>
  </si>
  <si>
    <t>AEO.2023.REF2023.GEN_NA_COMM_CHP_PET_NA_NA_MILLKWH.A</t>
  </si>
  <si>
    <t>Commercial: Combined Heat and Power: Net Generation: Petroleum: No Inflation Reduction Act</t>
  </si>
  <si>
    <t>AEO.2023.NOIRA.GEN_NA_COMM_CHP_PET_NA_NA_MILLKWH.A</t>
  </si>
  <si>
    <t>Commercial: Combined Heat and Power: Net Generation: Natural Gas</t>
  </si>
  <si>
    <t>Commercial: Combined Heat and Power: Net Generation: Natural Gas: Reference case</t>
  </si>
  <si>
    <t>AEO.2023.REF2023.GEN_NA_COMM_CHP_NG_NA_NA_MILLKWH.A</t>
  </si>
  <si>
    <t>Commercial: Combined Heat and Power: Net Generation: Natural Gas: No Inflation Reduction Act</t>
  </si>
  <si>
    <t>AEO.2023.NOIRA.GEN_NA_COMM_CHP_NG_NA_NA_MILLKWH.A</t>
  </si>
  <si>
    <t>Commercial: Combined Heat and Power: Net Generation: Solar Photovoltaic</t>
  </si>
  <si>
    <t>Commercial: Combined Heat and Power: Net Generation: Solar Photovoltaic: Reference case</t>
  </si>
  <si>
    <t>Commercial: Combined Heat and Power: Net Generation: Solar Photovoltaic: No Inflation Reduction Act</t>
  </si>
  <si>
    <t>Commercial: Combined Heat and Power: Net Generation: Wind</t>
  </si>
  <si>
    <t>Commercial: Combined Heat and Power: Net Generation: Wind: Reference case</t>
  </si>
  <si>
    <t>Commercial: Combined Heat and Power: Net Generation: Wind: No Inflation Reduction Act</t>
  </si>
  <si>
    <t>Commercial: Combined Heat and Power: Net Generation: Other</t>
  </si>
  <si>
    <t>Commercial: Combined Heat and Power: Net Generation: Other: Reference case</t>
  </si>
  <si>
    <t>AEO.2023.REF2023.GEN_NA_COMM_CHP_OTH_NA_NA_MILLKWH.A</t>
  </si>
  <si>
    <t>Commercial: Combined Heat and Power: Net Generation: Other: No Inflation Reduction Act</t>
  </si>
  <si>
    <t>AEO.2023.NOIRA.GEN_NA_COMM_CHP_OTH_NA_NA_MILLKWH.A</t>
  </si>
  <si>
    <t>Commercial: Combined Heat and Power: Net Generation: Total</t>
  </si>
  <si>
    <t>Commercial: Combined Heat and Power: Net Generation: Total: Reference case</t>
  </si>
  <si>
    <t>Commercial: Combined Heat and Power: Net Generation: Total: No Inflation Reduction Act</t>
  </si>
  <si>
    <t>Commercial: Combined Heat and Power: Net Generation: Sales to the Grid</t>
  </si>
  <si>
    <t>Commercial: Combined Heat and Power: Net Generation: Sales to the Grid: Reference case</t>
  </si>
  <si>
    <t>Commercial: Combined Heat and Power: Net Generation: Sales to the Grid: No Inflation Reduction Act</t>
  </si>
  <si>
    <t>Commercial: Combined Heat and Power: Net Generation: Generation for Own Use</t>
  </si>
  <si>
    <t>Commercial: Combined Heat and Power: Net Generation: Generation for Own Use: Reference case</t>
  </si>
  <si>
    <t>Commercial: Combined Heat and Power: Net Generation: Generation for Own Use: No Inflation Reduction Act</t>
  </si>
  <si>
    <t>Commercial: Combined Heat and Power: Energy Input: Petroleum</t>
  </si>
  <si>
    <t>Commercial: Combined Heat and Power: Energy Input: Petroleum: Reference case</t>
  </si>
  <si>
    <t>AEO.2023.REF2023.CNSM_NA_COMM_CHP_PET_NA_NA_TRLBTU.A</t>
  </si>
  <si>
    <t>Commercial: Combined Heat and Power: Energy Input: Petroleum: No Inflation Reduction Act</t>
  </si>
  <si>
    <t>AEO.2023.NOIRA.CNSM_NA_COMM_CHP_PET_NA_NA_TRLBTU.A</t>
  </si>
  <si>
    <t>Commercial: Combined Heat and Power: Energy Input: Natural Gas</t>
  </si>
  <si>
    <t>Commercial: Combined Heat and Power: Energy Input: Natural Gas: Reference case</t>
  </si>
  <si>
    <t>AEO.2023.REF2023.CNSM_NA_COMM_CHP_NG_NA_NA_TRLBTU.A</t>
  </si>
  <si>
    <t>Commercial: Combined Heat and Power: Energy Input: Natural Gas: No Inflation Reduction Act</t>
  </si>
  <si>
    <t>AEO.2023.NOIRA.CNSM_NA_COMM_CHP_NG_NA_NA_TRLBTU.A</t>
  </si>
  <si>
    <t>Commercial: Combined Heat and Power: Energy Input: Solar Photovoltaic</t>
  </si>
  <si>
    <t>Commercial: Combined Heat and Power: Energy Input: Solar Photovoltaic: Reference case</t>
  </si>
  <si>
    <t>Commercial: Combined Heat and Power: Energy Input: Solar Photovoltaic: No Inflation Reduction Act</t>
  </si>
  <si>
    <t>Commercial: Combined Heat and Power: Energy Input: Wind</t>
  </si>
  <si>
    <t>Commercial: Combined Heat and Power: Energy Input: Wind: Reference case</t>
  </si>
  <si>
    <t>Commercial: Combined Heat and Power: Energy Input: Wind: No Inflation Reduction Act</t>
  </si>
  <si>
    <t>Commercial: Combined Heat and Power: Energy Input: Other</t>
  </si>
  <si>
    <t>Commercial: Combined Heat and Power: Energy Input: Other: Reference case</t>
  </si>
  <si>
    <t>AEO.2023.REF2023.CNSM_NA_COMM_CHP_OTH_NA_NA_TRLBTU.A</t>
  </si>
  <si>
    <t>Commercial: Combined Heat and Power: Energy Input: Other: No Inflation Reduction Act</t>
  </si>
  <si>
    <t>AEO.2023.NOIRA.CNSM_NA_COMM_CHP_OTH_NA_NA_TRLBTU.A</t>
  </si>
  <si>
    <t>Commercial: Combined Heat and Power: Energy Input: Total</t>
  </si>
  <si>
    <t>Commercial: Combined Heat and Power: Energy Input: Total: Reference case</t>
  </si>
  <si>
    <t>Commercial: Combined Heat and Power: Energy Input: Total: No Inflation Reduction Act</t>
  </si>
  <si>
    <t>Resid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</si>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</sst>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H8" sqref="H8"/>
    </sheetView>
  </sheetViews>
  <sheetFormatPr defaultRowHeight="14.5" x14ac:dyDescent="0.35"/>
  <sheetData>
    <row r="1" spans="1:11" x14ac:dyDescent="0.35"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</row>
    <row r="2" spans="1:11" x14ac:dyDescent="0.35">
      <c r="A2" t="s">
        <v>416</v>
      </c>
      <c r="B2" t="s">
        <v>417</v>
      </c>
      <c r="E2" t="s">
        <v>696</v>
      </c>
      <c r="F2">
        <f>Table_21._Residential_Sector_Eq!F205*0.0036</f>
        <v>0.19014660359999999</v>
      </c>
      <c r="G2">
        <f>Table_21._Residential_Sector_Eq!G205*0.0036</f>
        <v>0.2823701112</v>
      </c>
      <c r="H2">
        <f>Table_21._Residential_Sector_Eq!H205*0.0036</f>
        <v>0.38914230599999999</v>
      </c>
      <c r="I2">
        <f>Table_21._Residential_Sector_Eq!I205*0.0036</f>
        <v>0.50545184399999998</v>
      </c>
      <c r="J2">
        <f>Table_21._Residential_Sector_Eq!J205*0.0036</f>
        <v>0.65829297959999999</v>
      </c>
      <c r="K2">
        <f>Table_21._Residential_Sector_Eq!K205*0.0036</f>
        <v>0.84406019759999995</v>
      </c>
    </row>
    <row r="3" spans="1:11" x14ac:dyDescent="0.35">
      <c r="E3" t="s">
        <v>697</v>
      </c>
      <c r="F3">
        <f>Table_21._Commercial_Sector_Eq!F185*0.0036</f>
        <v>1.3624650863999999</v>
      </c>
      <c r="G3">
        <f>Table_21._Commercial_Sector_Eq!G185*0.0036</f>
        <v>1.7302462632</v>
      </c>
      <c r="H3">
        <f>Table_21._Commercial_Sector_Eq!H185*0.0036</f>
        <v>2.1301514639999999</v>
      </c>
      <c r="I3">
        <f>Table_21._Commercial_Sector_Eq!I185*0.0036</f>
        <v>2.5239383783999996</v>
      </c>
      <c r="J3">
        <f>Table_21._Commercial_Sector_Eq!J185*0.0036</f>
        <v>2.7822032243999999</v>
      </c>
      <c r="K3">
        <f>Table_21._Commercial_Sector_Eq!K185*0.0036</f>
        <v>2.9490514883999999</v>
      </c>
    </row>
    <row r="4" spans="1:11" x14ac:dyDescent="0.35">
      <c r="E4" t="s">
        <v>67</v>
      </c>
      <c r="F4">
        <f>SUM(F2:F3)</f>
        <v>1.5526116899999998</v>
      </c>
      <c r="G4">
        <f t="shared" ref="G4:K4" si="0">SUM(G2:G3)</f>
        <v>2.0126163743999999</v>
      </c>
      <c r="H4">
        <f t="shared" si="0"/>
        <v>2.51929377</v>
      </c>
      <c r="I4">
        <f t="shared" si="0"/>
        <v>3.0293902223999996</v>
      </c>
      <c r="J4">
        <f t="shared" si="0"/>
        <v>3.440496204</v>
      </c>
      <c r="K4">
        <f t="shared" si="0"/>
        <v>3.7931116859999996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232"/>
  <sheetViews>
    <sheetView workbookViewId="0">
      <selection sqref="A1:XFD5"/>
    </sheetView>
  </sheetViews>
  <sheetFormatPr defaultRowHeight="14.5" x14ac:dyDescent="0.35"/>
  <cols>
    <col min="1" max="1" width="46.08984375" customWidth="1"/>
    <col min="2" max="2" width="77.7265625" customWidth="1"/>
  </cols>
  <sheetData>
    <row r="6" spans="1:12" x14ac:dyDescent="0.35">
      <c r="A6" t="s">
        <v>0</v>
      </c>
    </row>
    <row r="7" spans="1:12" x14ac:dyDescent="0.35">
      <c r="A7" t="s">
        <v>1</v>
      </c>
    </row>
    <row r="8" spans="1:12" x14ac:dyDescent="0.35">
      <c r="A8" t="s">
        <v>2</v>
      </c>
    </row>
    <row r="9" spans="1:12" x14ac:dyDescent="0.35">
      <c r="A9" t="s">
        <v>3</v>
      </c>
    </row>
    <row r="10" spans="1:12" x14ac:dyDescent="0.35">
      <c r="B10" t="s">
        <v>4</v>
      </c>
      <c r="C10" t="s">
        <v>5</v>
      </c>
      <c r="D10" t="s">
        <v>6</v>
      </c>
      <c r="E10">
        <v>2021</v>
      </c>
      <c r="F10">
        <v>2025</v>
      </c>
      <c r="G10">
        <v>2030</v>
      </c>
      <c r="H10">
        <v>2035</v>
      </c>
      <c r="I10">
        <v>2040</v>
      </c>
      <c r="J10">
        <v>2045</v>
      </c>
      <c r="K10">
        <v>2050</v>
      </c>
      <c r="L10" t="s">
        <v>7</v>
      </c>
    </row>
    <row r="11" spans="1:12" x14ac:dyDescent="0.35">
      <c r="A11" t="s">
        <v>8</v>
      </c>
    </row>
    <row r="12" spans="1:12" x14ac:dyDescent="0.35">
      <c r="A12" t="s">
        <v>9</v>
      </c>
    </row>
    <row r="13" spans="1:12" x14ac:dyDescent="0.35">
      <c r="A13" t="s">
        <v>10</v>
      </c>
      <c r="B13" t="s">
        <v>11</v>
      </c>
      <c r="D13" t="s">
        <v>12</v>
      </c>
    </row>
    <row r="14" spans="1:12" x14ac:dyDescent="0.35">
      <c r="A14" t="s">
        <v>13</v>
      </c>
      <c r="B14" t="s">
        <v>14</v>
      </c>
      <c r="C14" t="s">
        <v>15</v>
      </c>
      <c r="D14" t="s">
        <v>12</v>
      </c>
      <c r="F14">
        <v>14.081016999999999</v>
      </c>
      <c r="G14">
        <v>15.364176</v>
      </c>
      <c r="H14">
        <v>16.560500999999999</v>
      </c>
      <c r="I14">
        <v>17.718792000000001</v>
      </c>
      <c r="J14">
        <v>18.859971999999999</v>
      </c>
      <c r="K14">
        <v>19.985924000000001</v>
      </c>
      <c r="L14" s="1">
        <v>1.4999999999999999E-2</v>
      </c>
    </row>
    <row r="15" spans="1:12" x14ac:dyDescent="0.35">
      <c r="A15" t="s">
        <v>16</v>
      </c>
      <c r="B15" t="s">
        <v>17</v>
      </c>
      <c r="C15" t="s">
        <v>18</v>
      </c>
      <c r="D15" t="s">
        <v>12</v>
      </c>
      <c r="F15">
        <v>14.076959</v>
      </c>
      <c r="G15">
        <v>15.358029999999999</v>
      </c>
      <c r="H15">
        <v>16.545704000000001</v>
      </c>
      <c r="I15">
        <v>17.707825</v>
      </c>
      <c r="J15">
        <v>18.855181000000002</v>
      </c>
      <c r="K15">
        <v>19.973880999999999</v>
      </c>
      <c r="L15" s="1">
        <v>1.4999999999999999E-2</v>
      </c>
    </row>
    <row r="16" spans="1:12" x14ac:dyDescent="0.35">
      <c r="A16" t="s">
        <v>19</v>
      </c>
      <c r="B16" t="s">
        <v>20</v>
      </c>
      <c r="D16" t="s">
        <v>12</v>
      </c>
    </row>
    <row r="17" spans="1:12" x14ac:dyDescent="0.35">
      <c r="A17" t="s">
        <v>13</v>
      </c>
      <c r="B17" t="s">
        <v>21</v>
      </c>
      <c r="C17" t="s">
        <v>22</v>
      </c>
      <c r="D17" t="s">
        <v>12</v>
      </c>
      <c r="F17">
        <v>31.545936999999999</v>
      </c>
      <c r="G17">
        <v>32.472884999999998</v>
      </c>
      <c r="H17">
        <v>33.339801999999999</v>
      </c>
      <c r="I17">
        <v>34.183968</v>
      </c>
      <c r="J17">
        <v>35.026974000000003</v>
      </c>
      <c r="K17">
        <v>35.849113000000003</v>
      </c>
      <c r="L17" s="1">
        <v>5.0000000000000001E-3</v>
      </c>
    </row>
    <row r="18" spans="1:12" x14ac:dyDescent="0.35">
      <c r="A18" t="s">
        <v>16</v>
      </c>
      <c r="B18" t="s">
        <v>23</v>
      </c>
      <c r="C18" t="s">
        <v>24</v>
      </c>
      <c r="D18" t="s">
        <v>12</v>
      </c>
      <c r="F18">
        <v>31.541792000000001</v>
      </c>
      <c r="G18">
        <v>32.465800999999999</v>
      </c>
      <c r="H18">
        <v>33.317664999999998</v>
      </c>
      <c r="I18">
        <v>34.161029999999997</v>
      </c>
      <c r="J18">
        <v>35.005619000000003</v>
      </c>
      <c r="K18">
        <v>35.814224000000003</v>
      </c>
      <c r="L18" s="1">
        <v>5.0000000000000001E-3</v>
      </c>
    </row>
    <row r="19" spans="1:12" x14ac:dyDescent="0.35">
      <c r="A19" t="s">
        <v>25</v>
      </c>
      <c r="B19" t="s">
        <v>26</v>
      </c>
      <c r="D19" t="s">
        <v>12</v>
      </c>
    </row>
    <row r="20" spans="1:12" x14ac:dyDescent="0.35">
      <c r="A20" t="s">
        <v>13</v>
      </c>
      <c r="B20" t="s">
        <v>27</v>
      </c>
      <c r="C20" t="s">
        <v>28</v>
      </c>
      <c r="D20" t="s">
        <v>12</v>
      </c>
      <c r="F20">
        <v>1.3153570000000001</v>
      </c>
      <c r="G20">
        <v>1.3057799999999999</v>
      </c>
      <c r="H20">
        <v>1.296387</v>
      </c>
      <c r="I20">
        <v>1.2871710000000001</v>
      </c>
      <c r="J20">
        <v>1.2781199999999999</v>
      </c>
      <c r="K20">
        <v>1.2692270000000001</v>
      </c>
      <c r="L20" s="1">
        <v>-1E-3</v>
      </c>
    </row>
    <row r="21" spans="1:12" x14ac:dyDescent="0.35">
      <c r="A21" t="s">
        <v>16</v>
      </c>
      <c r="B21" t="s">
        <v>29</v>
      </c>
      <c r="C21" t="s">
        <v>30</v>
      </c>
      <c r="D21" t="s">
        <v>12</v>
      </c>
      <c r="F21">
        <v>1.3153570000000001</v>
      </c>
      <c r="G21">
        <v>1.3057799999999999</v>
      </c>
      <c r="H21">
        <v>1.296387</v>
      </c>
      <c r="I21">
        <v>1.2871710000000001</v>
      </c>
      <c r="J21">
        <v>1.2781199999999999</v>
      </c>
      <c r="K21">
        <v>1.2692270000000001</v>
      </c>
      <c r="L21" s="1">
        <v>-1E-3</v>
      </c>
    </row>
    <row r="22" spans="1:12" x14ac:dyDescent="0.35">
      <c r="A22" t="s">
        <v>31</v>
      </c>
      <c r="B22" t="s">
        <v>32</v>
      </c>
      <c r="D22" t="s">
        <v>12</v>
      </c>
    </row>
    <row r="23" spans="1:12" x14ac:dyDescent="0.35">
      <c r="A23" t="s">
        <v>13</v>
      </c>
      <c r="B23" t="s">
        <v>33</v>
      </c>
      <c r="C23" t="s">
        <v>34</v>
      </c>
      <c r="D23" t="s">
        <v>12</v>
      </c>
      <c r="F23">
        <v>64.503296000000006</v>
      </c>
      <c r="G23">
        <v>68.541175999999993</v>
      </c>
      <c r="H23">
        <v>72.239448999999993</v>
      </c>
      <c r="I23">
        <v>75.724936999999997</v>
      </c>
      <c r="J23">
        <v>79.146407999999994</v>
      </c>
      <c r="K23">
        <v>82.431442000000004</v>
      </c>
      <c r="L23" s="1">
        <v>0.01</v>
      </c>
    </row>
    <row r="24" spans="1:12" x14ac:dyDescent="0.35">
      <c r="A24" t="s">
        <v>16</v>
      </c>
      <c r="B24" t="s">
        <v>35</v>
      </c>
      <c r="C24" t="s">
        <v>36</v>
      </c>
      <c r="D24" t="s">
        <v>12</v>
      </c>
      <c r="F24">
        <v>64.499129999999994</v>
      </c>
      <c r="G24">
        <v>68.549080000000004</v>
      </c>
      <c r="H24">
        <v>72.247246000000004</v>
      </c>
      <c r="I24">
        <v>75.754195999999993</v>
      </c>
      <c r="J24">
        <v>79.192359999999994</v>
      </c>
      <c r="K24">
        <v>82.461242999999996</v>
      </c>
      <c r="L24" s="1">
        <v>0.01</v>
      </c>
    </row>
    <row r="25" spans="1:12" x14ac:dyDescent="0.35">
      <c r="A25" t="s">
        <v>37</v>
      </c>
      <c r="B25" t="s">
        <v>38</v>
      </c>
      <c r="D25" t="s">
        <v>12</v>
      </c>
    </row>
    <row r="26" spans="1:12" x14ac:dyDescent="0.35">
      <c r="A26" t="s">
        <v>13</v>
      </c>
      <c r="B26" t="s">
        <v>39</v>
      </c>
      <c r="C26" t="s">
        <v>40</v>
      </c>
      <c r="D26" t="s">
        <v>12</v>
      </c>
      <c r="F26">
        <v>5.3095049999999997</v>
      </c>
      <c r="G26">
        <v>5.0911799999999996</v>
      </c>
      <c r="H26">
        <v>4.9163410000000001</v>
      </c>
      <c r="I26">
        <v>4.7674130000000003</v>
      </c>
      <c r="J26">
        <v>4.614363</v>
      </c>
      <c r="K26">
        <v>4.4347300000000001</v>
      </c>
      <c r="L26" s="1">
        <v>-7.0000000000000001E-3</v>
      </c>
    </row>
    <row r="27" spans="1:12" x14ac:dyDescent="0.35">
      <c r="A27" t="s">
        <v>16</v>
      </c>
      <c r="B27" t="s">
        <v>41</v>
      </c>
      <c r="C27" t="s">
        <v>42</v>
      </c>
      <c r="D27" t="s">
        <v>12</v>
      </c>
      <c r="F27">
        <v>5.3094770000000002</v>
      </c>
      <c r="G27">
        <v>5.0913700000000004</v>
      </c>
      <c r="H27">
        <v>4.9167949999999996</v>
      </c>
      <c r="I27">
        <v>4.7682840000000004</v>
      </c>
      <c r="J27">
        <v>4.6156040000000003</v>
      </c>
      <c r="K27">
        <v>4.4361370000000004</v>
      </c>
      <c r="L27" s="1">
        <v>-7.0000000000000001E-3</v>
      </c>
    </row>
    <row r="28" spans="1:12" x14ac:dyDescent="0.35">
      <c r="A28" t="s">
        <v>43</v>
      </c>
      <c r="B28" t="s">
        <v>44</v>
      </c>
      <c r="D28" t="s">
        <v>12</v>
      </c>
    </row>
    <row r="29" spans="1:12" x14ac:dyDescent="0.35">
      <c r="A29" t="s">
        <v>13</v>
      </c>
      <c r="B29" t="s">
        <v>45</v>
      </c>
      <c r="C29" t="s">
        <v>46</v>
      </c>
      <c r="D29" t="s">
        <v>12</v>
      </c>
      <c r="F29">
        <v>5.2618099999999997</v>
      </c>
      <c r="G29">
        <v>5.2354919999999998</v>
      </c>
      <c r="H29">
        <v>5.2259960000000003</v>
      </c>
      <c r="I29">
        <v>5.2102320000000004</v>
      </c>
      <c r="J29">
        <v>5.1845889999999999</v>
      </c>
      <c r="K29">
        <v>5.1537879999999996</v>
      </c>
      <c r="L29" s="1">
        <v>-1E-3</v>
      </c>
    </row>
    <row r="30" spans="1:12" x14ac:dyDescent="0.35">
      <c r="A30" t="s">
        <v>16</v>
      </c>
      <c r="B30" t="s">
        <v>47</v>
      </c>
      <c r="C30" t="s">
        <v>48</v>
      </c>
      <c r="D30" t="s">
        <v>12</v>
      </c>
      <c r="F30">
        <v>5.2611679999999996</v>
      </c>
      <c r="G30">
        <v>5.2318670000000003</v>
      </c>
      <c r="H30">
        <v>5.2174120000000004</v>
      </c>
      <c r="I30">
        <v>5.2005379999999999</v>
      </c>
      <c r="J30">
        <v>5.1752729999999998</v>
      </c>
      <c r="K30">
        <v>5.1406700000000001</v>
      </c>
      <c r="L30" s="1">
        <v>-1E-3</v>
      </c>
    </row>
    <row r="31" spans="1:12" x14ac:dyDescent="0.35">
      <c r="A31" t="s">
        <v>49</v>
      </c>
      <c r="B31" t="s">
        <v>50</v>
      </c>
      <c r="D31" t="s">
        <v>12</v>
      </c>
    </row>
    <row r="32" spans="1:12" x14ac:dyDescent="0.35">
      <c r="A32" t="s">
        <v>13</v>
      </c>
      <c r="B32" t="s">
        <v>51</v>
      </c>
      <c r="C32" t="s">
        <v>52</v>
      </c>
      <c r="D32" t="s">
        <v>12</v>
      </c>
      <c r="F32">
        <v>1.2782999999999999E-2</v>
      </c>
      <c r="G32">
        <v>2.6530999999999999E-2</v>
      </c>
      <c r="H32">
        <v>3.7892000000000002E-2</v>
      </c>
      <c r="I32">
        <v>4.7425000000000002E-2</v>
      </c>
      <c r="J32">
        <v>5.5631E-2</v>
      </c>
      <c r="K32">
        <v>6.2150999999999998E-2</v>
      </c>
      <c r="L32" s="1">
        <v>0.104</v>
      </c>
    </row>
    <row r="33" spans="1:12" x14ac:dyDescent="0.35">
      <c r="A33" t="s">
        <v>16</v>
      </c>
      <c r="B33" t="s">
        <v>53</v>
      </c>
      <c r="C33" t="s">
        <v>54</v>
      </c>
      <c r="D33" t="s">
        <v>12</v>
      </c>
      <c r="F33">
        <v>1.2709E-2</v>
      </c>
      <c r="G33">
        <v>2.6578999999999998E-2</v>
      </c>
      <c r="H33">
        <v>3.7996000000000002E-2</v>
      </c>
      <c r="I33">
        <v>4.7855000000000002E-2</v>
      </c>
      <c r="J33">
        <v>5.6279999999999997E-2</v>
      </c>
      <c r="K33">
        <v>6.2670000000000003E-2</v>
      </c>
      <c r="L33" s="1">
        <v>0.104</v>
      </c>
    </row>
    <row r="34" spans="1:12" x14ac:dyDescent="0.35">
      <c r="A34" t="s">
        <v>55</v>
      </c>
      <c r="B34" t="s">
        <v>56</v>
      </c>
      <c r="D34" t="s">
        <v>12</v>
      </c>
    </row>
    <row r="35" spans="1:12" x14ac:dyDescent="0.35">
      <c r="A35" t="s">
        <v>13</v>
      </c>
      <c r="B35" t="s">
        <v>57</v>
      </c>
      <c r="C35" t="s">
        <v>58</v>
      </c>
      <c r="D35" t="s">
        <v>12</v>
      </c>
      <c r="F35">
        <v>3.2113849999999999</v>
      </c>
      <c r="G35">
        <v>3.0947770000000001</v>
      </c>
      <c r="H35">
        <v>2.9721950000000001</v>
      </c>
      <c r="I35">
        <v>2.848303</v>
      </c>
      <c r="J35">
        <v>2.7473010000000002</v>
      </c>
      <c r="K35">
        <v>2.662318</v>
      </c>
      <c r="L35" s="1">
        <v>-8.0000000000000002E-3</v>
      </c>
    </row>
    <row r="36" spans="1:12" x14ac:dyDescent="0.35">
      <c r="A36" t="s">
        <v>16</v>
      </c>
      <c r="B36" t="s">
        <v>59</v>
      </c>
      <c r="C36" t="s">
        <v>60</v>
      </c>
      <c r="D36" t="s">
        <v>12</v>
      </c>
      <c r="F36">
        <v>3.21217</v>
      </c>
      <c r="G36">
        <v>3.094042</v>
      </c>
      <c r="H36">
        <v>2.9690789999999998</v>
      </c>
      <c r="I36">
        <v>2.842543</v>
      </c>
      <c r="J36">
        <v>2.7393149999999999</v>
      </c>
      <c r="K36">
        <v>2.6542370000000002</v>
      </c>
      <c r="L36" s="1">
        <v>-8.0000000000000002E-3</v>
      </c>
    </row>
    <row r="37" spans="1:12" x14ac:dyDescent="0.35">
      <c r="A37" t="s">
        <v>61</v>
      </c>
      <c r="B37" t="s">
        <v>62</v>
      </c>
      <c r="D37" t="s">
        <v>12</v>
      </c>
    </row>
    <row r="38" spans="1:12" x14ac:dyDescent="0.35">
      <c r="A38" t="s">
        <v>13</v>
      </c>
      <c r="B38" t="s">
        <v>63</v>
      </c>
      <c r="C38" t="s">
        <v>64</v>
      </c>
      <c r="D38" t="s">
        <v>12</v>
      </c>
      <c r="F38">
        <v>0.90150600000000003</v>
      </c>
      <c r="G38">
        <v>1.189252</v>
      </c>
      <c r="H38">
        <v>1.469565</v>
      </c>
      <c r="I38">
        <v>1.741698</v>
      </c>
      <c r="J38">
        <v>1.9875970000000001</v>
      </c>
      <c r="K38">
        <v>2.2103090000000001</v>
      </c>
      <c r="L38" s="1">
        <v>4.1000000000000002E-2</v>
      </c>
    </row>
    <row r="39" spans="1:12" x14ac:dyDescent="0.35">
      <c r="A39" t="s">
        <v>16</v>
      </c>
      <c r="B39" t="s">
        <v>65</v>
      </c>
      <c r="C39" t="s">
        <v>66</v>
      </c>
      <c r="D39" t="s">
        <v>12</v>
      </c>
      <c r="F39">
        <v>0.90032800000000002</v>
      </c>
      <c r="G39">
        <v>1.1895960000000001</v>
      </c>
      <c r="H39">
        <v>1.4718089999999999</v>
      </c>
      <c r="I39">
        <v>1.74709</v>
      </c>
      <c r="J39">
        <v>1.995965</v>
      </c>
      <c r="K39">
        <v>2.2179479999999998</v>
      </c>
      <c r="L39" s="1">
        <v>4.1000000000000002E-2</v>
      </c>
    </row>
    <row r="40" spans="1:12" x14ac:dyDescent="0.35">
      <c r="A40" t="s">
        <v>67</v>
      </c>
      <c r="B40" t="s">
        <v>68</v>
      </c>
      <c r="D40" t="s">
        <v>12</v>
      </c>
    </row>
    <row r="41" spans="1:12" x14ac:dyDescent="0.35">
      <c r="A41" t="s">
        <v>13</v>
      </c>
      <c r="B41" t="s">
        <v>69</v>
      </c>
      <c r="C41" t="s">
        <v>70</v>
      </c>
      <c r="D41" t="s">
        <v>12</v>
      </c>
      <c r="F41">
        <v>126.14258599999999</v>
      </c>
      <c r="G41">
        <v>132.32124300000001</v>
      </c>
      <c r="H41">
        <v>138.058121</v>
      </c>
      <c r="I41">
        <v>143.52993799999999</v>
      </c>
      <c r="J41">
        <v>148.90095500000001</v>
      </c>
      <c r="K41">
        <v>154.05900600000001</v>
      </c>
      <c r="L41" s="1">
        <v>8.0000000000000002E-3</v>
      </c>
    </row>
    <row r="42" spans="1:12" x14ac:dyDescent="0.35">
      <c r="A42" t="s">
        <v>16</v>
      </c>
      <c r="B42" t="s">
        <v>71</v>
      </c>
      <c r="C42" t="s">
        <v>72</v>
      </c>
      <c r="D42" t="s">
        <v>12</v>
      </c>
      <c r="F42">
        <v>126.129105</v>
      </c>
      <c r="G42">
        <v>132.31213399999999</v>
      </c>
      <c r="H42">
        <v>138.020081</v>
      </c>
      <c r="I42">
        <v>143.51651000000001</v>
      </c>
      <c r="J42">
        <v>148.91372699999999</v>
      </c>
      <c r="K42">
        <v>154.03022799999999</v>
      </c>
      <c r="L42" s="1">
        <v>8.0000000000000002E-3</v>
      </c>
    </row>
    <row r="43" spans="1:12" x14ac:dyDescent="0.35">
      <c r="A43" t="s">
        <v>73</v>
      </c>
    </row>
    <row r="44" spans="1:12" x14ac:dyDescent="0.35">
      <c r="A44" t="s">
        <v>10</v>
      </c>
      <c r="B44" t="s">
        <v>74</v>
      </c>
      <c r="D44" t="s">
        <v>12</v>
      </c>
    </row>
    <row r="45" spans="1:12" x14ac:dyDescent="0.35">
      <c r="A45" t="s">
        <v>13</v>
      </c>
      <c r="B45" t="s">
        <v>75</v>
      </c>
      <c r="C45" t="s">
        <v>76</v>
      </c>
      <c r="D45" t="s">
        <v>12</v>
      </c>
      <c r="F45">
        <v>14.081021</v>
      </c>
      <c r="G45">
        <v>15.364179</v>
      </c>
      <c r="H45">
        <v>16.560503000000001</v>
      </c>
      <c r="I45">
        <v>17.718796000000001</v>
      </c>
      <c r="J45">
        <v>18.859974000000001</v>
      </c>
      <c r="K45">
        <v>19.985924000000001</v>
      </c>
      <c r="L45" s="1">
        <v>1.4999999999999999E-2</v>
      </c>
    </row>
    <row r="46" spans="1:12" x14ac:dyDescent="0.35">
      <c r="A46" t="s">
        <v>16</v>
      </c>
      <c r="B46" t="s">
        <v>77</v>
      </c>
      <c r="C46" t="s">
        <v>78</v>
      </c>
      <c r="D46" t="s">
        <v>12</v>
      </c>
      <c r="F46">
        <v>14.076962</v>
      </c>
      <c r="G46">
        <v>15.358041</v>
      </c>
      <c r="H46">
        <v>16.545704000000001</v>
      </c>
      <c r="I46">
        <v>17.707820999999999</v>
      </c>
      <c r="J46">
        <v>18.855183</v>
      </c>
      <c r="K46">
        <v>19.973879</v>
      </c>
      <c r="L46" s="1">
        <v>1.4999999999999999E-2</v>
      </c>
    </row>
    <row r="47" spans="1:12" x14ac:dyDescent="0.35">
      <c r="A47" t="s">
        <v>25</v>
      </c>
      <c r="B47" t="s">
        <v>79</v>
      </c>
      <c r="D47" t="s">
        <v>12</v>
      </c>
    </row>
    <row r="48" spans="1:12" x14ac:dyDescent="0.35">
      <c r="A48" t="s">
        <v>13</v>
      </c>
      <c r="B48" t="s">
        <v>80</v>
      </c>
      <c r="C48" t="s">
        <v>81</v>
      </c>
      <c r="D48" t="s">
        <v>12</v>
      </c>
      <c r="F48">
        <v>1.3153570000000001</v>
      </c>
      <c r="G48">
        <v>1.305779</v>
      </c>
      <c r="H48">
        <v>1.296387</v>
      </c>
      <c r="I48">
        <v>1.2871710000000001</v>
      </c>
      <c r="J48">
        <v>1.2781199999999999</v>
      </c>
      <c r="K48">
        <v>1.2692270000000001</v>
      </c>
      <c r="L48" s="1">
        <v>-1E-3</v>
      </c>
    </row>
    <row r="49" spans="1:12" x14ac:dyDescent="0.35">
      <c r="A49" t="s">
        <v>16</v>
      </c>
      <c r="B49" t="s">
        <v>82</v>
      </c>
      <c r="C49" t="s">
        <v>83</v>
      </c>
      <c r="D49" t="s">
        <v>12</v>
      </c>
      <c r="F49">
        <v>1.3153570000000001</v>
      </c>
      <c r="G49">
        <v>1.305779</v>
      </c>
      <c r="H49">
        <v>1.296387</v>
      </c>
      <c r="I49">
        <v>1.2871710000000001</v>
      </c>
      <c r="J49">
        <v>1.2781199999999999</v>
      </c>
      <c r="K49">
        <v>1.2692270000000001</v>
      </c>
      <c r="L49" s="1">
        <v>-1E-3</v>
      </c>
    </row>
    <row r="50" spans="1:12" x14ac:dyDescent="0.35">
      <c r="A50" t="s">
        <v>61</v>
      </c>
      <c r="B50" t="s">
        <v>84</v>
      </c>
      <c r="D50" t="s">
        <v>12</v>
      </c>
    </row>
    <row r="51" spans="1:12" x14ac:dyDescent="0.35">
      <c r="A51" t="s">
        <v>13</v>
      </c>
      <c r="B51" t="s">
        <v>85</v>
      </c>
      <c r="C51" t="s">
        <v>86</v>
      </c>
      <c r="D51" t="s">
        <v>12</v>
      </c>
      <c r="F51">
        <v>0.90150600000000003</v>
      </c>
      <c r="G51">
        <v>1.189252</v>
      </c>
      <c r="H51">
        <v>1.4695659999999999</v>
      </c>
      <c r="I51">
        <v>1.7416970000000001</v>
      </c>
      <c r="J51">
        <v>1.9875959999999999</v>
      </c>
      <c r="K51">
        <v>2.2103090000000001</v>
      </c>
      <c r="L51" s="1">
        <v>4.1000000000000002E-2</v>
      </c>
    </row>
    <row r="52" spans="1:12" x14ac:dyDescent="0.35">
      <c r="A52" t="s">
        <v>16</v>
      </c>
      <c r="B52" t="s">
        <v>87</v>
      </c>
      <c r="C52" t="s">
        <v>88</v>
      </c>
      <c r="D52" t="s">
        <v>12</v>
      </c>
      <c r="F52">
        <v>0.90032800000000002</v>
      </c>
      <c r="G52">
        <v>1.189597</v>
      </c>
      <c r="H52">
        <v>1.4718100000000001</v>
      </c>
      <c r="I52">
        <v>1.74709</v>
      </c>
      <c r="J52">
        <v>1.995965</v>
      </c>
      <c r="K52">
        <v>2.2179479999999998</v>
      </c>
      <c r="L52" s="1">
        <v>4.1000000000000002E-2</v>
      </c>
    </row>
    <row r="53" spans="1:12" x14ac:dyDescent="0.35">
      <c r="A53" t="s">
        <v>89</v>
      </c>
      <c r="B53" t="s">
        <v>90</v>
      </c>
      <c r="D53" t="s">
        <v>12</v>
      </c>
    </row>
    <row r="54" spans="1:12" x14ac:dyDescent="0.35">
      <c r="A54" t="s">
        <v>13</v>
      </c>
      <c r="B54" t="s">
        <v>91</v>
      </c>
      <c r="C54" t="s">
        <v>92</v>
      </c>
      <c r="D54" t="s">
        <v>12</v>
      </c>
      <c r="F54">
        <v>70.710128999999995</v>
      </c>
      <c r="G54">
        <v>78.657111999999998</v>
      </c>
      <c r="H54">
        <v>86.282950999999997</v>
      </c>
      <c r="I54">
        <v>93.693588000000005</v>
      </c>
      <c r="J54">
        <v>100.997017</v>
      </c>
      <c r="K54">
        <v>108.122772</v>
      </c>
      <c r="L54" s="1">
        <v>1.7999999999999999E-2</v>
      </c>
    </row>
    <row r="55" spans="1:12" x14ac:dyDescent="0.35">
      <c r="A55" t="s">
        <v>16</v>
      </c>
      <c r="B55" t="s">
        <v>93</v>
      </c>
      <c r="C55" t="s">
        <v>94</v>
      </c>
      <c r="D55" t="s">
        <v>12</v>
      </c>
      <c r="F55">
        <v>70.702315999999996</v>
      </c>
      <c r="G55">
        <v>78.652709999999999</v>
      </c>
      <c r="H55">
        <v>86.260848999999993</v>
      </c>
      <c r="I55">
        <v>93.687224999999998</v>
      </c>
      <c r="J55">
        <v>101.006569</v>
      </c>
      <c r="K55">
        <v>108.105316</v>
      </c>
      <c r="L55" s="1">
        <v>1.7999999999999999E-2</v>
      </c>
    </row>
    <row r="56" spans="1:12" x14ac:dyDescent="0.35">
      <c r="A56" t="s">
        <v>95</v>
      </c>
      <c r="B56" t="s">
        <v>96</v>
      </c>
      <c r="D56" t="s">
        <v>12</v>
      </c>
    </row>
    <row r="57" spans="1:12" x14ac:dyDescent="0.35">
      <c r="A57" t="s">
        <v>13</v>
      </c>
      <c r="B57" t="s">
        <v>97</v>
      </c>
      <c r="C57" t="s">
        <v>98</v>
      </c>
      <c r="D57" t="s">
        <v>12</v>
      </c>
      <c r="F57">
        <v>58.130096000000002</v>
      </c>
      <c r="G57">
        <v>58.235847</v>
      </c>
      <c r="H57">
        <v>58.304741</v>
      </c>
      <c r="I57">
        <v>58.355373</v>
      </c>
      <c r="J57">
        <v>58.411189999999998</v>
      </c>
      <c r="K57">
        <v>58.455089999999998</v>
      </c>
      <c r="L57" s="1">
        <v>0</v>
      </c>
    </row>
    <row r="58" spans="1:12" x14ac:dyDescent="0.35">
      <c r="A58" t="s">
        <v>16</v>
      </c>
      <c r="B58" t="s">
        <v>99</v>
      </c>
      <c r="C58" t="s">
        <v>100</v>
      </c>
      <c r="D58" t="s">
        <v>12</v>
      </c>
      <c r="F58">
        <v>58.127937000000003</v>
      </c>
      <c r="G58">
        <v>58.234614999999998</v>
      </c>
      <c r="H58">
        <v>58.299084000000001</v>
      </c>
      <c r="I58">
        <v>58.354312999999998</v>
      </c>
      <c r="J58">
        <v>58.414107999999999</v>
      </c>
      <c r="K58">
        <v>58.450882</v>
      </c>
      <c r="L58" s="1">
        <v>0</v>
      </c>
    </row>
    <row r="59" spans="1:12" x14ac:dyDescent="0.35">
      <c r="A59" t="s">
        <v>67</v>
      </c>
      <c r="B59" t="s">
        <v>101</v>
      </c>
      <c r="D59" t="s">
        <v>12</v>
      </c>
    </row>
    <row r="60" spans="1:12" x14ac:dyDescent="0.35">
      <c r="A60" t="s">
        <v>13</v>
      </c>
      <c r="B60" t="s">
        <v>102</v>
      </c>
      <c r="C60" t="s">
        <v>103</v>
      </c>
      <c r="D60" t="s">
        <v>12</v>
      </c>
      <c r="F60">
        <v>145.13810699999999</v>
      </c>
      <c r="G60">
        <v>154.75216699999999</v>
      </c>
      <c r="H60">
        <v>163.914154</v>
      </c>
      <c r="I60">
        <v>172.79663099999999</v>
      </c>
      <c r="J60">
        <v>181.533905</v>
      </c>
      <c r="K60">
        <v>190.04331999999999</v>
      </c>
      <c r="L60" s="1">
        <v>1.0999999999999999E-2</v>
      </c>
    </row>
    <row r="61" spans="1:12" x14ac:dyDescent="0.35">
      <c r="A61" t="s">
        <v>16</v>
      </c>
      <c r="B61" t="s">
        <v>104</v>
      </c>
      <c r="C61" t="s">
        <v>105</v>
      </c>
      <c r="D61" t="s">
        <v>12</v>
      </c>
      <c r="F61">
        <v>145.122894</v>
      </c>
      <c r="G61">
        <v>154.74073799999999</v>
      </c>
      <c r="H61">
        <v>163.87384</v>
      </c>
      <c r="I61">
        <v>172.783615</v>
      </c>
      <c r="J61">
        <v>181.54994199999999</v>
      </c>
      <c r="K61">
        <v>190.017258</v>
      </c>
      <c r="L61" s="1">
        <v>1.0999999999999999E-2</v>
      </c>
    </row>
    <row r="62" spans="1:12" x14ac:dyDescent="0.35">
      <c r="A62" t="s">
        <v>106</v>
      </c>
    </row>
    <row r="63" spans="1:12" x14ac:dyDescent="0.35">
      <c r="A63" t="s">
        <v>107</v>
      </c>
      <c r="B63" t="s">
        <v>108</v>
      </c>
      <c r="D63" t="s">
        <v>12</v>
      </c>
    </row>
    <row r="64" spans="1:12" x14ac:dyDescent="0.35">
      <c r="A64" t="s">
        <v>13</v>
      </c>
      <c r="B64" t="s">
        <v>109</v>
      </c>
      <c r="C64" t="s">
        <v>110</v>
      </c>
      <c r="D64" t="s">
        <v>12</v>
      </c>
      <c r="F64">
        <v>61.675991000000003</v>
      </c>
      <c r="G64">
        <v>63.111282000000003</v>
      </c>
      <c r="H64">
        <v>64.897079000000005</v>
      </c>
      <c r="I64">
        <v>67.381805</v>
      </c>
      <c r="J64">
        <v>69.659087999999997</v>
      </c>
      <c r="K64">
        <v>71.842628000000005</v>
      </c>
      <c r="L64" s="1">
        <v>6.0000000000000001E-3</v>
      </c>
    </row>
    <row r="65" spans="1:12" x14ac:dyDescent="0.35">
      <c r="A65" t="s">
        <v>16</v>
      </c>
      <c r="B65" t="s">
        <v>111</v>
      </c>
      <c r="C65" t="s">
        <v>112</v>
      </c>
      <c r="D65" t="s">
        <v>12</v>
      </c>
      <c r="F65">
        <v>62.408268</v>
      </c>
      <c r="G65">
        <v>65.012298999999999</v>
      </c>
      <c r="H65">
        <v>67.383369000000002</v>
      </c>
      <c r="I65">
        <v>69.799994999999996</v>
      </c>
      <c r="J65">
        <v>72.035506999999996</v>
      </c>
      <c r="K65">
        <v>74.126541000000003</v>
      </c>
      <c r="L65" s="1">
        <v>7.0000000000000001E-3</v>
      </c>
    </row>
    <row r="66" spans="1:12" x14ac:dyDescent="0.35">
      <c r="A66" t="s">
        <v>113</v>
      </c>
      <c r="B66" t="s">
        <v>114</v>
      </c>
      <c r="D66" t="s">
        <v>12</v>
      </c>
    </row>
    <row r="67" spans="1:12" x14ac:dyDescent="0.35">
      <c r="A67" t="s">
        <v>13</v>
      </c>
      <c r="B67" t="s">
        <v>115</v>
      </c>
      <c r="C67" t="s">
        <v>116</v>
      </c>
      <c r="D67" t="s">
        <v>12</v>
      </c>
      <c r="F67">
        <v>63.183993999999998</v>
      </c>
      <c r="G67">
        <v>66.761238000000006</v>
      </c>
      <c r="H67">
        <v>70.120711999999997</v>
      </c>
      <c r="I67">
        <v>73.355804000000006</v>
      </c>
      <c r="J67">
        <v>76.611816000000005</v>
      </c>
      <c r="K67">
        <v>79.692604000000003</v>
      </c>
      <c r="L67" s="1">
        <v>8.9999999999999993E-3</v>
      </c>
    </row>
    <row r="68" spans="1:12" x14ac:dyDescent="0.35">
      <c r="A68" t="s">
        <v>16</v>
      </c>
      <c r="B68" t="s">
        <v>117</v>
      </c>
      <c r="C68" t="s">
        <v>118</v>
      </c>
      <c r="D68" t="s">
        <v>12</v>
      </c>
      <c r="F68">
        <v>63.342059999999996</v>
      </c>
      <c r="G68">
        <v>67.191497999999996</v>
      </c>
      <c r="H68">
        <v>70.750602999999998</v>
      </c>
      <c r="I68">
        <v>74.052070999999998</v>
      </c>
      <c r="J68">
        <v>77.349166999999994</v>
      </c>
      <c r="K68">
        <v>80.462387000000007</v>
      </c>
      <c r="L68" s="1">
        <v>0.01</v>
      </c>
    </row>
    <row r="69" spans="1:12" x14ac:dyDescent="0.35">
      <c r="A69" t="s">
        <v>37</v>
      </c>
      <c r="B69" t="s">
        <v>119</v>
      </c>
      <c r="D69" t="s">
        <v>12</v>
      </c>
    </row>
    <row r="70" spans="1:12" x14ac:dyDescent="0.35">
      <c r="A70" t="s">
        <v>13</v>
      </c>
      <c r="B70" t="s">
        <v>120</v>
      </c>
      <c r="C70" t="s">
        <v>121</v>
      </c>
      <c r="D70" t="s">
        <v>12</v>
      </c>
      <c r="F70">
        <v>2.3857050000000002</v>
      </c>
      <c r="G70">
        <v>2.2166969999999999</v>
      </c>
      <c r="H70">
        <v>2.0668519999999999</v>
      </c>
      <c r="I70">
        <v>1.9220330000000001</v>
      </c>
      <c r="J70">
        <v>1.80236</v>
      </c>
      <c r="K70">
        <v>1.697292</v>
      </c>
      <c r="L70" s="1">
        <v>-1.4E-2</v>
      </c>
    </row>
    <row r="71" spans="1:12" x14ac:dyDescent="0.35">
      <c r="A71" t="s">
        <v>16</v>
      </c>
      <c r="B71" t="s">
        <v>122</v>
      </c>
      <c r="C71" t="s">
        <v>123</v>
      </c>
      <c r="D71" t="s">
        <v>12</v>
      </c>
      <c r="F71">
        <v>2.388884</v>
      </c>
      <c r="G71">
        <v>2.227471</v>
      </c>
      <c r="H71">
        <v>2.0847989999999998</v>
      </c>
      <c r="I71">
        <v>1.9447939999999999</v>
      </c>
      <c r="J71">
        <v>1.827996</v>
      </c>
      <c r="K71">
        <v>1.724226</v>
      </c>
      <c r="L71" s="1">
        <v>-1.4E-2</v>
      </c>
    </row>
    <row r="72" spans="1:12" x14ac:dyDescent="0.35">
      <c r="A72" t="s">
        <v>43</v>
      </c>
      <c r="B72" t="s">
        <v>124</v>
      </c>
      <c r="D72" t="s">
        <v>12</v>
      </c>
    </row>
    <row r="73" spans="1:12" x14ac:dyDescent="0.35">
      <c r="A73" t="s">
        <v>13</v>
      </c>
      <c r="B73" t="s">
        <v>125</v>
      </c>
      <c r="C73" t="s">
        <v>126</v>
      </c>
      <c r="D73" t="s">
        <v>12</v>
      </c>
      <c r="F73">
        <v>3.6748500000000002</v>
      </c>
      <c r="G73">
        <v>3.4217279999999999</v>
      </c>
      <c r="H73">
        <v>3.2032949999999998</v>
      </c>
      <c r="I73">
        <v>2.984899</v>
      </c>
      <c r="J73">
        <v>2.8259439999999998</v>
      </c>
      <c r="K73">
        <v>2.7075239999999998</v>
      </c>
      <c r="L73" s="1">
        <v>-1.2999999999999999E-2</v>
      </c>
    </row>
    <row r="74" spans="1:12" x14ac:dyDescent="0.35">
      <c r="A74" t="s">
        <v>16</v>
      </c>
      <c r="B74" t="s">
        <v>127</v>
      </c>
      <c r="C74" t="s">
        <v>128</v>
      </c>
      <c r="D74" t="s">
        <v>12</v>
      </c>
      <c r="F74">
        <v>3.678213</v>
      </c>
      <c r="G74">
        <v>3.4273790000000002</v>
      </c>
      <c r="H74">
        <v>3.2078120000000001</v>
      </c>
      <c r="I74">
        <v>2.9889700000000001</v>
      </c>
      <c r="J74">
        <v>2.8299180000000002</v>
      </c>
      <c r="K74">
        <v>2.7080820000000001</v>
      </c>
      <c r="L74" s="1">
        <v>-1.2999999999999999E-2</v>
      </c>
    </row>
    <row r="75" spans="1:12" x14ac:dyDescent="0.35">
      <c r="A75" t="s">
        <v>129</v>
      </c>
      <c r="B75" t="s">
        <v>130</v>
      </c>
      <c r="D75" t="s">
        <v>12</v>
      </c>
    </row>
    <row r="76" spans="1:12" x14ac:dyDescent="0.35">
      <c r="A76" t="s">
        <v>13</v>
      </c>
      <c r="B76" t="s">
        <v>131</v>
      </c>
      <c r="C76" t="s">
        <v>132</v>
      </c>
      <c r="D76" t="s">
        <v>12</v>
      </c>
      <c r="F76">
        <v>3.2382330000000001</v>
      </c>
      <c r="G76">
        <v>4.7348220000000003</v>
      </c>
      <c r="H76">
        <v>5.6063939999999999</v>
      </c>
      <c r="I76">
        <v>5.6361780000000001</v>
      </c>
      <c r="J76">
        <v>5.6700030000000003</v>
      </c>
      <c r="K76">
        <v>5.7073559999999999</v>
      </c>
      <c r="L76" s="1">
        <v>3.4000000000000002E-2</v>
      </c>
    </row>
    <row r="77" spans="1:12" x14ac:dyDescent="0.35">
      <c r="A77" t="s">
        <v>16</v>
      </c>
      <c r="B77" t="s">
        <v>133</v>
      </c>
      <c r="C77" t="s">
        <v>134</v>
      </c>
      <c r="D77" t="s">
        <v>12</v>
      </c>
      <c r="F77">
        <v>2.3278219999999998</v>
      </c>
      <c r="G77">
        <v>2.3780670000000002</v>
      </c>
      <c r="H77">
        <v>2.4297650000000002</v>
      </c>
      <c r="I77">
        <v>2.4815339999999999</v>
      </c>
      <c r="J77">
        <v>2.5393829999999999</v>
      </c>
      <c r="K77">
        <v>2.5973980000000001</v>
      </c>
      <c r="L77" s="1">
        <v>7.0000000000000001E-3</v>
      </c>
    </row>
    <row r="78" spans="1:12" x14ac:dyDescent="0.35">
      <c r="A78" t="s">
        <v>67</v>
      </c>
      <c r="B78" t="s">
        <v>135</v>
      </c>
      <c r="D78" t="s">
        <v>12</v>
      </c>
    </row>
    <row r="79" spans="1:12" x14ac:dyDescent="0.35">
      <c r="A79" t="s">
        <v>13</v>
      </c>
      <c r="B79" t="s">
        <v>136</v>
      </c>
      <c r="C79" t="s">
        <v>137</v>
      </c>
      <c r="D79" t="s">
        <v>12</v>
      </c>
      <c r="F79">
        <v>134.15876800000001</v>
      </c>
      <c r="G79">
        <v>140.245758</v>
      </c>
      <c r="H79">
        <v>145.89433299999999</v>
      </c>
      <c r="I79">
        <v>151.28071600000001</v>
      </c>
      <c r="J79">
        <v>156.569199</v>
      </c>
      <c r="K79">
        <v>161.6474</v>
      </c>
      <c r="L79" s="1">
        <v>8.0000000000000002E-3</v>
      </c>
    </row>
    <row r="80" spans="1:12" x14ac:dyDescent="0.35">
      <c r="A80" t="s">
        <v>16</v>
      </c>
      <c r="B80" t="s">
        <v>138</v>
      </c>
      <c r="C80" t="s">
        <v>139</v>
      </c>
      <c r="D80" t="s">
        <v>12</v>
      </c>
      <c r="F80">
        <v>134.14523299999999</v>
      </c>
      <c r="G80">
        <v>140.23672500000001</v>
      </c>
      <c r="H80">
        <v>145.85633899999999</v>
      </c>
      <c r="I80">
        <v>151.26736500000001</v>
      </c>
      <c r="J80">
        <v>156.581985</v>
      </c>
      <c r="K80">
        <v>161.61863700000001</v>
      </c>
      <c r="L80" s="1">
        <v>8.0000000000000002E-3</v>
      </c>
    </row>
    <row r="81" spans="1:12" x14ac:dyDescent="0.35">
      <c r="A81" t="s">
        <v>140</v>
      </c>
    </row>
    <row r="82" spans="1:12" x14ac:dyDescent="0.35">
      <c r="A82" t="s">
        <v>107</v>
      </c>
      <c r="B82" t="s">
        <v>141</v>
      </c>
      <c r="D82" t="s">
        <v>12</v>
      </c>
    </row>
    <row r="83" spans="1:12" x14ac:dyDescent="0.35">
      <c r="A83" t="s">
        <v>13</v>
      </c>
      <c r="B83" t="s">
        <v>142</v>
      </c>
      <c r="C83" t="s">
        <v>143</v>
      </c>
      <c r="D83" t="s">
        <v>12</v>
      </c>
      <c r="F83">
        <v>100.198555</v>
      </c>
      <c r="G83">
        <v>103.12352</v>
      </c>
      <c r="H83">
        <v>105.187927</v>
      </c>
      <c r="I83">
        <v>108.035225</v>
      </c>
      <c r="J83">
        <v>110.57737</v>
      </c>
      <c r="K83">
        <v>112.79387699999999</v>
      </c>
      <c r="L83" s="1">
        <v>5.0000000000000001E-3</v>
      </c>
    </row>
    <row r="84" spans="1:12" x14ac:dyDescent="0.35">
      <c r="A84" t="s">
        <v>16</v>
      </c>
      <c r="B84" t="s">
        <v>144</v>
      </c>
      <c r="C84" t="s">
        <v>145</v>
      </c>
      <c r="D84" t="s">
        <v>12</v>
      </c>
      <c r="F84">
        <v>100.187759</v>
      </c>
      <c r="G84">
        <v>103.11277</v>
      </c>
      <c r="H84">
        <v>105.150696</v>
      </c>
      <c r="I84">
        <v>108.012146</v>
      </c>
      <c r="J84">
        <v>110.573021</v>
      </c>
      <c r="K84">
        <v>112.759888</v>
      </c>
      <c r="L84" s="1">
        <v>5.0000000000000001E-3</v>
      </c>
    </row>
    <row r="85" spans="1:12" x14ac:dyDescent="0.35">
      <c r="A85" t="s">
        <v>113</v>
      </c>
      <c r="B85" t="s">
        <v>146</v>
      </c>
      <c r="D85" t="s">
        <v>12</v>
      </c>
    </row>
    <row r="86" spans="1:12" x14ac:dyDescent="0.35">
      <c r="A86" t="s">
        <v>13</v>
      </c>
      <c r="B86" t="s">
        <v>147</v>
      </c>
      <c r="C86" t="s">
        <v>148</v>
      </c>
      <c r="D86" t="s">
        <v>12</v>
      </c>
      <c r="F86">
        <v>50.517521000000002</v>
      </c>
      <c r="G86">
        <v>53.66621</v>
      </c>
      <c r="H86">
        <v>57.278697999999999</v>
      </c>
      <c r="I86">
        <v>59.794044</v>
      </c>
      <c r="J86">
        <v>62.561092000000002</v>
      </c>
      <c r="K86">
        <v>65.422531000000006</v>
      </c>
      <c r="L86" s="1">
        <v>0.01</v>
      </c>
    </row>
    <row r="87" spans="1:12" x14ac:dyDescent="0.35">
      <c r="A87" t="s">
        <v>16</v>
      </c>
      <c r="B87" t="s">
        <v>149</v>
      </c>
      <c r="C87" t="s">
        <v>150</v>
      </c>
      <c r="D87" t="s">
        <v>12</v>
      </c>
      <c r="F87">
        <v>50.515220999999997</v>
      </c>
      <c r="G87">
        <v>53.668754999999997</v>
      </c>
      <c r="H87">
        <v>57.281489999999998</v>
      </c>
      <c r="I87">
        <v>59.807040999999998</v>
      </c>
      <c r="J87">
        <v>62.581097</v>
      </c>
      <c r="K87">
        <v>65.433387999999994</v>
      </c>
      <c r="L87" s="1">
        <v>0.01</v>
      </c>
    </row>
    <row r="88" spans="1:12" x14ac:dyDescent="0.35">
      <c r="A88" t="s">
        <v>43</v>
      </c>
      <c r="B88" t="s">
        <v>151</v>
      </c>
      <c r="D88" t="s">
        <v>12</v>
      </c>
    </row>
    <row r="89" spans="1:12" x14ac:dyDescent="0.35">
      <c r="A89" t="s">
        <v>13</v>
      </c>
      <c r="B89" t="s">
        <v>152</v>
      </c>
      <c r="C89" t="s">
        <v>153</v>
      </c>
      <c r="D89" t="s">
        <v>12</v>
      </c>
      <c r="F89">
        <v>7.1969430000000001</v>
      </c>
      <c r="G89">
        <v>7.0514330000000003</v>
      </c>
      <c r="H89">
        <v>6.8681109999999999</v>
      </c>
      <c r="I89">
        <v>6.7403110000000002</v>
      </c>
      <c r="J89">
        <v>6.5714249999999996</v>
      </c>
      <c r="K89">
        <v>6.426418</v>
      </c>
      <c r="L89" s="1">
        <v>-4.0000000000000001E-3</v>
      </c>
    </row>
    <row r="90" spans="1:12" x14ac:dyDescent="0.35">
      <c r="A90" t="s">
        <v>16</v>
      </c>
      <c r="B90" t="s">
        <v>154</v>
      </c>
      <c r="C90" t="s">
        <v>155</v>
      </c>
      <c r="D90" t="s">
        <v>12</v>
      </c>
      <c r="F90">
        <v>7.1965250000000003</v>
      </c>
      <c r="G90">
        <v>7.0505329999999997</v>
      </c>
      <c r="H90">
        <v>6.8645040000000002</v>
      </c>
      <c r="I90">
        <v>6.7370200000000002</v>
      </c>
      <c r="J90">
        <v>6.5684870000000002</v>
      </c>
      <c r="K90">
        <v>6.420795</v>
      </c>
      <c r="L90" s="1">
        <v>-4.0000000000000001E-3</v>
      </c>
    </row>
    <row r="91" spans="1:12" x14ac:dyDescent="0.35">
      <c r="A91" t="s">
        <v>67</v>
      </c>
      <c r="B91" t="s">
        <v>156</v>
      </c>
      <c r="D91" t="s">
        <v>12</v>
      </c>
    </row>
    <row r="92" spans="1:12" x14ac:dyDescent="0.35">
      <c r="A92" t="s">
        <v>13</v>
      </c>
      <c r="B92" t="s">
        <v>157</v>
      </c>
      <c r="C92" t="s">
        <v>158</v>
      </c>
      <c r="D92" t="s">
        <v>12</v>
      </c>
      <c r="F92">
        <v>157.913025</v>
      </c>
      <c r="G92">
        <v>163.841171</v>
      </c>
      <c r="H92">
        <v>169.33474699999999</v>
      </c>
      <c r="I92">
        <v>174.56958</v>
      </c>
      <c r="J92">
        <v>179.70988500000001</v>
      </c>
      <c r="K92">
        <v>184.642822</v>
      </c>
      <c r="L92" s="1">
        <v>6.0000000000000001E-3</v>
      </c>
    </row>
    <row r="93" spans="1:12" x14ac:dyDescent="0.35">
      <c r="A93" t="s">
        <v>16</v>
      </c>
      <c r="B93" t="s">
        <v>159</v>
      </c>
      <c r="C93" t="s">
        <v>160</v>
      </c>
      <c r="D93" t="s">
        <v>12</v>
      </c>
      <c r="F93">
        <v>157.89948999999999</v>
      </c>
      <c r="G93">
        <v>163.83206200000001</v>
      </c>
      <c r="H93">
        <v>169.29669200000001</v>
      </c>
      <c r="I93">
        <v>174.55619799999999</v>
      </c>
      <c r="J93">
        <v>179.72259500000001</v>
      </c>
      <c r="K93">
        <v>184.614059</v>
      </c>
      <c r="L93" s="1">
        <v>6.0000000000000001E-3</v>
      </c>
    </row>
    <row r="94" spans="1:12" x14ac:dyDescent="0.35">
      <c r="A94" t="s">
        <v>161</v>
      </c>
    </row>
    <row r="95" spans="1:12" x14ac:dyDescent="0.35">
      <c r="A95" t="s">
        <v>107</v>
      </c>
      <c r="B95" t="s">
        <v>162</v>
      </c>
      <c r="D95" t="s">
        <v>12</v>
      </c>
    </row>
    <row r="96" spans="1:12" x14ac:dyDescent="0.35">
      <c r="A96" t="s">
        <v>13</v>
      </c>
      <c r="B96" t="s">
        <v>163</v>
      </c>
      <c r="C96" t="s">
        <v>164</v>
      </c>
      <c r="D96" t="s">
        <v>12</v>
      </c>
      <c r="F96">
        <v>91.593001999999998</v>
      </c>
      <c r="G96">
        <v>99.765617000000006</v>
      </c>
      <c r="H96">
        <v>107.711365</v>
      </c>
      <c r="I96">
        <v>115.583641</v>
      </c>
      <c r="J96">
        <v>123.18261</v>
      </c>
      <c r="K96">
        <v>130.56716900000001</v>
      </c>
      <c r="L96" s="1">
        <v>1.4999999999999999E-2</v>
      </c>
    </row>
    <row r="97" spans="1:12" x14ac:dyDescent="0.35">
      <c r="A97" t="s">
        <v>16</v>
      </c>
      <c r="B97" t="s">
        <v>165</v>
      </c>
      <c r="C97" t="s">
        <v>166</v>
      </c>
      <c r="D97" t="s">
        <v>12</v>
      </c>
      <c r="F97">
        <v>91.580780000000004</v>
      </c>
      <c r="G97">
        <v>99.741623000000004</v>
      </c>
      <c r="H97">
        <v>107.641571</v>
      </c>
      <c r="I97">
        <v>115.524734</v>
      </c>
      <c r="J97">
        <v>123.143799</v>
      </c>
      <c r="K97">
        <v>130.484039</v>
      </c>
      <c r="L97" s="1">
        <v>1.4999999999999999E-2</v>
      </c>
    </row>
    <row r="98" spans="1:12" x14ac:dyDescent="0.35">
      <c r="A98" t="s">
        <v>113</v>
      </c>
      <c r="B98" t="s">
        <v>167</v>
      </c>
      <c r="D98" t="s">
        <v>12</v>
      </c>
    </row>
    <row r="99" spans="1:12" x14ac:dyDescent="0.35">
      <c r="A99" t="s">
        <v>13</v>
      </c>
      <c r="B99" t="s">
        <v>168</v>
      </c>
      <c r="C99" t="s">
        <v>169</v>
      </c>
      <c r="D99" t="s">
        <v>12</v>
      </c>
      <c r="F99">
        <v>21.150563999999999</v>
      </c>
      <c r="G99">
        <v>23.198757000000001</v>
      </c>
      <c r="H99">
        <v>25.112666999999998</v>
      </c>
      <c r="I99">
        <v>26.915823</v>
      </c>
      <c r="J99">
        <v>28.850496</v>
      </c>
      <c r="K99">
        <v>30.725327</v>
      </c>
      <c r="L99" s="1">
        <v>1.4999999999999999E-2</v>
      </c>
    </row>
    <row r="100" spans="1:12" x14ac:dyDescent="0.35">
      <c r="A100" t="s">
        <v>16</v>
      </c>
      <c r="B100" t="s">
        <v>170</v>
      </c>
      <c r="C100" t="s">
        <v>171</v>
      </c>
      <c r="D100" t="s">
        <v>12</v>
      </c>
      <c r="F100">
        <v>21.150400000000001</v>
      </c>
      <c r="G100">
        <v>23.214314000000002</v>
      </c>
      <c r="H100">
        <v>25.145464</v>
      </c>
      <c r="I100">
        <v>26.961777000000001</v>
      </c>
      <c r="J100">
        <v>28.903528000000001</v>
      </c>
      <c r="K100">
        <v>30.780550000000002</v>
      </c>
      <c r="L100" s="1">
        <v>1.4999999999999999E-2</v>
      </c>
    </row>
    <row r="101" spans="1:12" x14ac:dyDescent="0.35">
      <c r="A101" t="s">
        <v>67</v>
      </c>
      <c r="B101" t="s">
        <v>172</v>
      </c>
      <c r="D101" t="s">
        <v>12</v>
      </c>
    </row>
    <row r="102" spans="1:12" x14ac:dyDescent="0.35">
      <c r="A102" t="s">
        <v>13</v>
      </c>
      <c r="B102" t="s">
        <v>173</v>
      </c>
      <c r="C102" t="s">
        <v>174</v>
      </c>
      <c r="D102" t="s">
        <v>12</v>
      </c>
      <c r="F102">
        <v>112.743568</v>
      </c>
      <c r="G102">
        <v>122.964371</v>
      </c>
      <c r="H102">
        <v>132.82403600000001</v>
      </c>
      <c r="I102">
        <v>142.49946600000001</v>
      </c>
      <c r="J102">
        <v>152.03311199999999</v>
      </c>
      <c r="K102">
        <v>161.292496</v>
      </c>
      <c r="L102" s="1">
        <v>1.4999999999999999E-2</v>
      </c>
    </row>
    <row r="103" spans="1:12" x14ac:dyDescent="0.35">
      <c r="A103" t="s">
        <v>16</v>
      </c>
      <c r="B103" t="s">
        <v>175</v>
      </c>
      <c r="C103" t="s">
        <v>176</v>
      </c>
      <c r="D103" t="s">
        <v>12</v>
      </c>
      <c r="F103">
        <v>112.731178</v>
      </c>
      <c r="G103">
        <v>122.955933</v>
      </c>
      <c r="H103">
        <v>132.78703300000001</v>
      </c>
      <c r="I103">
        <v>142.48651100000001</v>
      </c>
      <c r="J103">
        <v>152.04733300000001</v>
      </c>
      <c r="K103">
        <v>161.26458700000001</v>
      </c>
      <c r="L103" s="1">
        <v>1.4999999999999999E-2</v>
      </c>
    </row>
    <row r="104" spans="1:12" x14ac:dyDescent="0.35">
      <c r="A104" t="s">
        <v>177</v>
      </c>
    </row>
    <row r="105" spans="1:12" x14ac:dyDescent="0.35">
      <c r="A105" t="s">
        <v>178</v>
      </c>
      <c r="B105" t="s">
        <v>179</v>
      </c>
      <c r="D105" t="s">
        <v>12</v>
      </c>
    </row>
    <row r="106" spans="1:12" x14ac:dyDescent="0.35">
      <c r="A106" t="s">
        <v>13</v>
      </c>
      <c r="B106" t="s">
        <v>180</v>
      </c>
      <c r="C106" t="s">
        <v>181</v>
      </c>
      <c r="D106" t="s">
        <v>12</v>
      </c>
      <c r="F106">
        <v>178.06526199999999</v>
      </c>
      <c r="G106">
        <v>186.971237</v>
      </c>
      <c r="H106">
        <v>195.25654599999999</v>
      </c>
      <c r="I106">
        <v>203.13880900000001</v>
      </c>
      <c r="J106">
        <v>210.86968999999999</v>
      </c>
      <c r="K106">
        <v>218.28552199999999</v>
      </c>
      <c r="L106" s="1">
        <v>8.0000000000000002E-3</v>
      </c>
    </row>
    <row r="107" spans="1:12" x14ac:dyDescent="0.35">
      <c r="A107" t="s">
        <v>16</v>
      </c>
      <c r="B107" t="s">
        <v>182</v>
      </c>
      <c r="C107" t="s">
        <v>183</v>
      </c>
      <c r="D107" t="s">
        <v>12</v>
      </c>
      <c r="F107">
        <v>178.04716500000001</v>
      </c>
      <c r="G107">
        <v>186.95893899999999</v>
      </c>
      <c r="H107">
        <v>195.20361299999999</v>
      </c>
      <c r="I107">
        <v>203.11885100000001</v>
      </c>
      <c r="J107">
        <v>210.88700900000001</v>
      </c>
      <c r="K107">
        <v>218.24606299999999</v>
      </c>
      <c r="L107" s="1">
        <v>8.0000000000000002E-3</v>
      </c>
    </row>
    <row r="108" spans="1:12" x14ac:dyDescent="0.35">
      <c r="A108" t="s">
        <v>184</v>
      </c>
      <c r="B108" t="s">
        <v>185</v>
      </c>
      <c r="D108" t="s">
        <v>12</v>
      </c>
    </row>
    <row r="109" spans="1:12" x14ac:dyDescent="0.35">
      <c r="A109" t="s">
        <v>13</v>
      </c>
      <c r="B109" t="s">
        <v>186</v>
      </c>
      <c r="C109" t="s">
        <v>187</v>
      </c>
      <c r="D109" t="s">
        <v>12</v>
      </c>
      <c r="F109">
        <v>46.606502999999996</v>
      </c>
      <c r="G109">
        <v>48.656849000000001</v>
      </c>
      <c r="H109">
        <v>50.555218000000004</v>
      </c>
      <c r="I109">
        <v>52.339035000000003</v>
      </c>
      <c r="J109">
        <v>54.082709999999999</v>
      </c>
      <c r="K109">
        <v>55.742942999999997</v>
      </c>
      <c r="L109" s="1">
        <v>7.0000000000000001E-3</v>
      </c>
    </row>
    <row r="110" spans="1:12" x14ac:dyDescent="0.35">
      <c r="A110" t="s">
        <v>16</v>
      </c>
      <c r="B110" t="s">
        <v>188</v>
      </c>
      <c r="C110" t="s">
        <v>189</v>
      </c>
      <c r="D110" t="s">
        <v>12</v>
      </c>
      <c r="F110">
        <v>46.601951999999997</v>
      </c>
      <c r="G110">
        <v>48.653998999999999</v>
      </c>
      <c r="H110">
        <v>50.541598999999998</v>
      </c>
      <c r="I110">
        <v>52.334789000000001</v>
      </c>
      <c r="J110">
        <v>54.088448</v>
      </c>
      <c r="K110">
        <v>55.733051000000003</v>
      </c>
      <c r="L110" s="1">
        <v>7.0000000000000001E-3</v>
      </c>
    </row>
    <row r="111" spans="1:12" x14ac:dyDescent="0.35">
      <c r="A111" t="s">
        <v>190</v>
      </c>
    </row>
    <row r="112" spans="1:12" x14ac:dyDescent="0.35">
      <c r="A112" t="s">
        <v>9</v>
      </c>
    </row>
    <row r="113" spans="1:12" x14ac:dyDescent="0.35">
      <c r="A113" t="s">
        <v>191</v>
      </c>
      <c r="B113" t="s">
        <v>192</v>
      </c>
      <c r="D113" t="s">
        <v>193</v>
      </c>
    </row>
    <row r="114" spans="1:12" x14ac:dyDescent="0.35">
      <c r="A114" t="s">
        <v>13</v>
      </c>
      <c r="B114" t="s">
        <v>194</v>
      </c>
      <c r="C114" t="s">
        <v>195</v>
      </c>
      <c r="D114" t="s">
        <v>193</v>
      </c>
      <c r="F114">
        <v>8.4682300000000001</v>
      </c>
      <c r="G114">
        <v>8.8006030000000006</v>
      </c>
      <c r="H114">
        <v>9.0156770000000002</v>
      </c>
      <c r="I114">
        <v>9.0991710000000001</v>
      </c>
      <c r="J114">
        <v>9.1313650000000006</v>
      </c>
      <c r="K114">
        <v>9.138287</v>
      </c>
      <c r="L114" s="1">
        <v>4.0000000000000001E-3</v>
      </c>
    </row>
    <row r="115" spans="1:12" x14ac:dyDescent="0.35">
      <c r="A115" t="s">
        <v>16</v>
      </c>
      <c r="B115" t="s">
        <v>196</v>
      </c>
      <c r="C115" t="s">
        <v>197</v>
      </c>
      <c r="D115" t="s">
        <v>193</v>
      </c>
      <c r="F115">
        <v>8.4515100000000007</v>
      </c>
      <c r="G115">
        <v>8.7812540000000006</v>
      </c>
      <c r="H115">
        <v>9.000216</v>
      </c>
      <c r="I115">
        <v>9.0912159999999993</v>
      </c>
      <c r="J115">
        <v>9.1292419999999996</v>
      </c>
      <c r="K115">
        <v>9.1388049999999996</v>
      </c>
      <c r="L115" s="1">
        <v>4.0000000000000001E-3</v>
      </c>
    </row>
    <row r="116" spans="1:12" x14ac:dyDescent="0.35">
      <c r="A116" t="s">
        <v>198</v>
      </c>
      <c r="B116" t="s">
        <v>199</v>
      </c>
      <c r="D116" t="s">
        <v>200</v>
      </c>
    </row>
    <row r="117" spans="1:12" x14ac:dyDescent="0.35">
      <c r="A117" t="s">
        <v>13</v>
      </c>
      <c r="B117" t="s">
        <v>201</v>
      </c>
      <c r="C117" t="s">
        <v>202</v>
      </c>
      <c r="D117" t="s">
        <v>200</v>
      </c>
      <c r="F117">
        <v>1.3</v>
      </c>
      <c r="G117">
        <v>1.3</v>
      </c>
      <c r="H117">
        <v>1.3</v>
      </c>
      <c r="I117">
        <v>1.3</v>
      </c>
      <c r="J117">
        <v>1.3</v>
      </c>
      <c r="K117">
        <v>1.3</v>
      </c>
      <c r="L117" s="1">
        <v>0</v>
      </c>
    </row>
    <row r="118" spans="1:12" x14ac:dyDescent="0.35">
      <c r="A118" t="s">
        <v>16</v>
      </c>
      <c r="B118" t="s">
        <v>203</v>
      </c>
      <c r="C118" t="s">
        <v>204</v>
      </c>
      <c r="D118" t="s">
        <v>200</v>
      </c>
      <c r="F118">
        <v>1.3</v>
      </c>
      <c r="G118">
        <v>1.3</v>
      </c>
      <c r="H118">
        <v>1.3</v>
      </c>
      <c r="I118">
        <v>1.3</v>
      </c>
      <c r="J118">
        <v>1.3</v>
      </c>
      <c r="K118">
        <v>1.3</v>
      </c>
      <c r="L118" s="1">
        <v>0</v>
      </c>
    </row>
    <row r="119" spans="1:12" x14ac:dyDescent="0.35">
      <c r="A119" t="s">
        <v>205</v>
      </c>
      <c r="B119" t="s">
        <v>206</v>
      </c>
      <c r="D119" t="s">
        <v>207</v>
      </c>
    </row>
    <row r="120" spans="1:12" x14ac:dyDescent="0.35">
      <c r="A120" t="s">
        <v>13</v>
      </c>
      <c r="B120" t="s">
        <v>208</v>
      </c>
      <c r="C120" t="s">
        <v>209</v>
      </c>
      <c r="D120" t="s">
        <v>207</v>
      </c>
      <c r="F120">
        <v>3.6346810000000001</v>
      </c>
      <c r="G120">
        <v>3.7546110000000001</v>
      </c>
      <c r="H120">
        <v>3.7960410000000002</v>
      </c>
      <c r="I120">
        <v>3.7440150000000001</v>
      </c>
      <c r="J120">
        <v>3.6968719999999999</v>
      </c>
      <c r="K120">
        <v>3.6663009999999998</v>
      </c>
      <c r="L120" s="1">
        <v>2E-3</v>
      </c>
    </row>
    <row r="121" spans="1:12" x14ac:dyDescent="0.35">
      <c r="A121" t="s">
        <v>16</v>
      </c>
      <c r="B121" t="s">
        <v>210</v>
      </c>
      <c r="C121" t="s">
        <v>211</v>
      </c>
      <c r="D121" t="s">
        <v>207</v>
      </c>
      <c r="F121">
        <v>3.5765690000000001</v>
      </c>
      <c r="G121">
        <v>3.617537</v>
      </c>
      <c r="H121">
        <v>3.6354129999999998</v>
      </c>
      <c r="I121">
        <v>3.6478419999999998</v>
      </c>
      <c r="J121">
        <v>3.6558660000000001</v>
      </c>
      <c r="K121">
        <v>3.6592250000000002</v>
      </c>
      <c r="L121" s="1">
        <v>2E-3</v>
      </c>
    </row>
    <row r="122" spans="1:12" x14ac:dyDescent="0.35">
      <c r="A122" t="s">
        <v>212</v>
      </c>
      <c r="B122" t="s">
        <v>213</v>
      </c>
      <c r="D122" t="s">
        <v>214</v>
      </c>
    </row>
    <row r="123" spans="1:12" x14ac:dyDescent="0.35">
      <c r="A123" t="s">
        <v>13</v>
      </c>
      <c r="B123" t="s">
        <v>215</v>
      </c>
      <c r="C123" t="s">
        <v>216</v>
      </c>
      <c r="D123" t="s">
        <v>214</v>
      </c>
      <c r="F123">
        <v>0.851464</v>
      </c>
      <c r="G123">
        <v>0.87741400000000003</v>
      </c>
      <c r="H123">
        <v>0.88805000000000001</v>
      </c>
      <c r="I123">
        <v>0.88716899999999999</v>
      </c>
      <c r="J123">
        <v>0.88049599999999995</v>
      </c>
      <c r="K123">
        <v>0.87323399999999995</v>
      </c>
      <c r="L123" s="1">
        <v>2E-3</v>
      </c>
    </row>
    <row r="124" spans="1:12" x14ac:dyDescent="0.35">
      <c r="A124" t="s">
        <v>16</v>
      </c>
      <c r="B124" t="s">
        <v>217</v>
      </c>
      <c r="C124" t="s">
        <v>218</v>
      </c>
      <c r="D124" t="s">
        <v>214</v>
      </c>
      <c r="F124">
        <v>0.84352499999999997</v>
      </c>
      <c r="G124">
        <v>0.86022799999999999</v>
      </c>
      <c r="H124">
        <v>0.86912900000000004</v>
      </c>
      <c r="I124">
        <v>0.87099400000000005</v>
      </c>
      <c r="J124">
        <v>0.86926300000000001</v>
      </c>
      <c r="K124">
        <v>0.86847600000000003</v>
      </c>
      <c r="L124" s="1">
        <v>2E-3</v>
      </c>
    </row>
    <row r="125" spans="1:12" x14ac:dyDescent="0.35">
      <c r="A125" t="s">
        <v>219</v>
      </c>
      <c r="B125" t="s">
        <v>220</v>
      </c>
      <c r="D125" t="s">
        <v>214</v>
      </c>
    </row>
    <row r="126" spans="1:12" x14ac:dyDescent="0.35">
      <c r="A126" t="s">
        <v>13</v>
      </c>
      <c r="B126" t="s">
        <v>221</v>
      </c>
      <c r="C126" t="s">
        <v>222</v>
      </c>
      <c r="D126" t="s">
        <v>214</v>
      </c>
      <c r="F126">
        <v>0.84250899999999995</v>
      </c>
      <c r="G126">
        <v>0.84937600000000002</v>
      </c>
      <c r="H126">
        <v>0.852715</v>
      </c>
      <c r="I126">
        <v>0.85349799999999998</v>
      </c>
      <c r="J126">
        <v>0.85262800000000005</v>
      </c>
      <c r="K126">
        <v>0.85032700000000006</v>
      </c>
      <c r="L126" s="1">
        <v>1E-3</v>
      </c>
    </row>
    <row r="127" spans="1:12" x14ac:dyDescent="0.35">
      <c r="A127" t="s">
        <v>16</v>
      </c>
      <c r="B127" t="s">
        <v>223</v>
      </c>
      <c r="C127" t="s">
        <v>224</v>
      </c>
      <c r="D127" t="s">
        <v>214</v>
      </c>
      <c r="F127">
        <v>0.84052400000000005</v>
      </c>
      <c r="G127">
        <v>0.84479400000000004</v>
      </c>
      <c r="H127">
        <v>0.84726999999999997</v>
      </c>
      <c r="I127">
        <v>0.84807699999999997</v>
      </c>
      <c r="J127">
        <v>0.84758599999999995</v>
      </c>
      <c r="K127">
        <v>0.84636699999999998</v>
      </c>
      <c r="L127" s="1">
        <v>0</v>
      </c>
    </row>
    <row r="128" spans="1:12" x14ac:dyDescent="0.35">
      <c r="A128" t="s">
        <v>225</v>
      </c>
    </row>
    <row r="129" spans="1:12" x14ac:dyDescent="0.35">
      <c r="A129" t="s">
        <v>226</v>
      </c>
      <c r="B129" t="s">
        <v>227</v>
      </c>
      <c r="D129" t="s">
        <v>228</v>
      </c>
    </row>
    <row r="130" spans="1:12" x14ac:dyDescent="0.35">
      <c r="A130" t="s">
        <v>13</v>
      </c>
      <c r="B130" t="s">
        <v>229</v>
      </c>
      <c r="C130" t="s">
        <v>230</v>
      </c>
      <c r="D130" t="s">
        <v>228</v>
      </c>
      <c r="F130">
        <v>14.788684</v>
      </c>
      <c r="G130">
        <v>15.623494000000001</v>
      </c>
      <c r="H130">
        <v>16.123374999999999</v>
      </c>
      <c r="I130">
        <v>16.283840000000001</v>
      </c>
      <c r="J130">
        <v>16.340574</v>
      </c>
      <c r="K130">
        <v>16.350580000000001</v>
      </c>
      <c r="L130" s="1">
        <v>5.0000000000000001E-3</v>
      </c>
    </row>
    <row r="131" spans="1:12" x14ac:dyDescent="0.35">
      <c r="A131" t="s">
        <v>16</v>
      </c>
      <c r="B131" t="s">
        <v>231</v>
      </c>
      <c r="C131" t="s">
        <v>232</v>
      </c>
      <c r="D131" t="s">
        <v>228</v>
      </c>
      <c r="F131">
        <v>14.743546</v>
      </c>
      <c r="G131">
        <v>15.574490000000001</v>
      </c>
      <c r="H131">
        <v>16.085802000000001</v>
      </c>
      <c r="I131">
        <v>16.266079000000001</v>
      </c>
      <c r="J131">
        <v>16.337627000000001</v>
      </c>
      <c r="K131">
        <v>16.353586</v>
      </c>
      <c r="L131" s="1">
        <v>5.0000000000000001E-3</v>
      </c>
    </row>
    <row r="132" spans="1:12" x14ac:dyDescent="0.35">
      <c r="A132" t="s">
        <v>198</v>
      </c>
      <c r="B132" t="s">
        <v>233</v>
      </c>
      <c r="D132" t="s">
        <v>200</v>
      </c>
    </row>
    <row r="133" spans="1:12" x14ac:dyDescent="0.35">
      <c r="A133" t="s">
        <v>13</v>
      </c>
      <c r="B133" t="s">
        <v>234</v>
      </c>
      <c r="C133" t="s">
        <v>235</v>
      </c>
      <c r="D133" t="s">
        <v>200</v>
      </c>
      <c r="F133">
        <v>0.63670700000000002</v>
      </c>
      <c r="G133">
        <v>0.66571100000000005</v>
      </c>
      <c r="H133">
        <v>0.69510499999999997</v>
      </c>
      <c r="I133">
        <v>0.69999699999999998</v>
      </c>
      <c r="J133">
        <v>0.7</v>
      </c>
      <c r="K133">
        <v>0.7</v>
      </c>
      <c r="L133" s="1">
        <v>4.0000000000000001E-3</v>
      </c>
    </row>
    <row r="134" spans="1:12" x14ac:dyDescent="0.35">
      <c r="A134" t="s">
        <v>16</v>
      </c>
      <c r="B134" t="s">
        <v>236</v>
      </c>
      <c r="C134" t="s">
        <v>237</v>
      </c>
      <c r="D134" t="s">
        <v>200</v>
      </c>
      <c r="F134">
        <v>0.63670700000000002</v>
      </c>
      <c r="G134">
        <v>0.66571100000000005</v>
      </c>
      <c r="H134">
        <v>0.69510499999999997</v>
      </c>
      <c r="I134">
        <v>0.69999699999999998</v>
      </c>
      <c r="J134">
        <v>0.7</v>
      </c>
      <c r="K134">
        <v>0.7</v>
      </c>
      <c r="L134" s="1">
        <v>4.0000000000000001E-3</v>
      </c>
    </row>
    <row r="135" spans="1:12" x14ac:dyDescent="0.35">
      <c r="A135" t="s">
        <v>238</v>
      </c>
      <c r="B135" t="s">
        <v>239</v>
      </c>
      <c r="D135" t="s">
        <v>240</v>
      </c>
    </row>
    <row r="136" spans="1:12" x14ac:dyDescent="0.35">
      <c r="A136" t="s">
        <v>13</v>
      </c>
      <c r="B136" t="s">
        <v>241</v>
      </c>
      <c r="C136" t="s">
        <v>242</v>
      </c>
      <c r="D136" t="s">
        <v>240</v>
      </c>
      <c r="F136">
        <v>16.961611000000001</v>
      </c>
      <c r="G136">
        <v>17.815270999999999</v>
      </c>
      <c r="H136">
        <v>18.107792</v>
      </c>
      <c r="I136">
        <v>17.722010000000001</v>
      </c>
      <c r="J136">
        <v>17.382135000000002</v>
      </c>
      <c r="K136">
        <v>17.163919</v>
      </c>
      <c r="L136" s="1">
        <v>2E-3</v>
      </c>
    </row>
    <row r="137" spans="1:12" x14ac:dyDescent="0.35">
      <c r="A137" t="s">
        <v>16</v>
      </c>
      <c r="B137" t="s">
        <v>243</v>
      </c>
      <c r="C137" t="s">
        <v>244</v>
      </c>
      <c r="D137" t="s">
        <v>240</v>
      </c>
      <c r="F137">
        <v>16.541695000000001</v>
      </c>
      <c r="G137">
        <v>16.826941999999999</v>
      </c>
      <c r="H137">
        <v>16.954874</v>
      </c>
      <c r="I137">
        <v>17.038374000000001</v>
      </c>
      <c r="J137">
        <v>17.088909000000001</v>
      </c>
      <c r="K137">
        <v>17.108250000000002</v>
      </c>
      <c r="L137" s="1">
        <v>2E-3</v>
      </c>
    </row>
    <row r="138" spans="1:12" x14ac:dyDescent="0.35">
      <c r="A138" t="s">
        <v>245</v>
      </c>
      <c r="B138" t="s">
        <v>246</v>
      </c>
      <c r="D138" t="s">
        <v>228</v>
      </c>
    </row>
    <row r="139" spans="1:12" x14ac:dyDescent="0.35">
      <c r="A139" t="s">
        <v>13</v>
      </c>
      <c r="B139" t="s">
        <v>247</v>
      </c>
      <c r="C139" t="s">
        <v>248</v>
      </c>
      <c r="D139" t="s">
        <v>228</v>
      </c>
      <c r="F139">
        <v>14.378797</v>
      </c>
      <c r="G139">
        <v>15.240843999999999</v>
      </c>
      <c r="H139">
        <v>15.634285999999999</v>
      </c>
      <c r="I139">
        <v>15.698021000000001</v>
      </c>
      <c r="J139">
        <v>15.673481000000001</v>
      </c>
      <c r="K139">
        <v>15.614152000000001</v>
      </c>
      <c r="L139" s="1">
        <v>5.0000000000000001E-3</v>
      </c>
    </row>
    <row r="140" spans="1:12" x14ac:dyDescent="0.35">
      <c r="A140" t="s">
        <v>16</v>
      </c>
      <c r="B140" t="s">
        <v>249</v>
      </c>
      <c r="C140" t="s">
        <v>250</v>
      </c>
      <c r="D140" t="s">
        <v>228</v>
      </c>
      <c r="F140">
        <v>14.091521</v>
      </c>
      <c r="G140">
        <v>14.808268</v>
      </c>
      <c r="H140">
        <v>15.212039000000001</v>
      </c>
      <c r="I140">
        <v>15.398071</v>
      </c>
      <c r="J140">
        <v>15.512733000000001</v>
      </c>
      <c r="K140">
        <v>15.556832</v>
      </c>
      <c r="L140" s="1">
        <v>5.0000000000000001E-3</v>
      </c>
    </row>
    <row r="141" spans="1:12" x14ac:dyDescent="0.35">
      <c r="A141" t="s">
        <v>251</v>
      </c>
      <c r="B141" t="s">
        <v>252</v>
      </c>
      <c r="D141" t="s">
        <v>240</v>
      </c>
    </row>
    <row r="142" spans="1:12" x14ac:dyDescent="0.35">
      <c r="A142" t="s">
        <v>13</v>
      </c>
      <c r="B142" t="s">
        <v>253</v>
      </c>
      <c r="C142" t="s">
        <v>254</v>
      </c>
      <c r="D142" t="s">
        <v>240</v>
      </c>
      <c r="F142">
        <v>11.555712</v>
      </c>
      <c r="G142">
        <v>11.849714000000001</v>
      </c>
      <c r="H142">
        <v>11.972925999999999</v>
      </c>
      <c r="I142">
        <v>12.063248</v>
      </c>
      <c r="J142">
        <v>12.138025000000001</v>
      </c>
      <c r="K142">
        <v>12.18211</v>
      </c>
      <c r="L142" s="1">
        <v>3.0000000000000001E-3</v>
      </c>
    </row>
    <row r="143" spans="1:12" x14ac:dyDescent="0.35">
      <c r="A143" t="s">
        <v>16</v>
      </c>
      <c r="B143" t="s">
        <v>255</v>
      </c>
      <c r="C143" t="s">
        <v>256</v>
      </c>
      <c r="D143" t="s">
        <v>240</v>
      </c>
      <c r="F143">
        <v>11.555752</v>
      </c>
      <c r="G143">
        <v>11.850569999999999</v>
      </c>
      <c r="H143">
        <v>11.974836</v>
      </c>
      <c r="I143">
        <v>12.065341999999999</v>
      </c>
      <c r="J143">
        <v>12.139718999999999</v>
      </c>
      <c r="K143">
        <v>12.183743</v>
      </c>
      <c r="L143" s="1">
        <v>3.0000000000000001E-3</v>
      </c>
    </row>
    <row r="144" spans="1:12" x14ac:dyDescent="0.35">
      <c r="A144" t="s">
        <v>257</v>
      </c>
    </row>
    <row r="145" spans="1:12" x14ac:dyDescent="0.35">
      <c r="A145" t="s">
        <v>258</v>
      </c>
      <c r="B145" t="s">
        <v>259</v>
      </c>
      <c r="D145" t="s">
        <v>260</v>
      </c>
    </row>
    <row r="146" spans="1:12" x14ac:dyDescent="0.35">
      <c r="A146" t="s">
        <v>13</v>
      </c>
      <c r="B146" t="s">
        <v>261</v>
      </c>
      <c r="C146" t="s">
        <v>262</v>
      </c>
      <c r="D146" t="s">
        <v>260</v>
      </c>
      <c r="F146">
        <v>0.96658599999999995</v>
      </c>
      <c r="G146">
        <v>1.0234220000000001</v>
      </c>
      <c r="H146">
        <v>1.0320370000000001</v>
      </c>
      <c r="I146">
        <v>1.0069630000000001</v>
      </c>
      <c r="J146">
        <v>0.99170800000000003</v>
      </c>
      <c r="K146">
        <v>0.98531000000000002</v>
      </c>
      <c r="L146" s="1">
        <v>2E-3</v>
      </c>
    </row>
    <row r="147" spans="1:12" x14ac:dyDescent="0.35">
      <c r="A147" t="s">
        <v>16</v>
      </c>
      <c r="B147" t="s">
        <v>263</v>
      </c>
      <c r="C147" t="s">
        <v>264</v>
      </c>
      <c r="D147" t="s">
        <v>260</v>
      </c>
      <c r="F147">
        <v>0.94076700000000002</v>
      </c>
      <c r="G147">
        <v>0.96728700000000001</v>
      </c>
      <c r="H147">
        <v>0.980688</v>
      </c>
      <c r="I147">
        <v>0.98286799999999996</v>
      </c>
      <c r="J147">
        <v>0.98312500000000003</v>
      </c>
      <c r="K147">
        <v>0.98317200000000005</v>
      </c>
      <c r="L147" s="1">
        <v>2E-3</v>
      </c>
    </row>
    <row r="148" spans="1:12" x14ac:dyDescent="0.35">
      <c r="A148" t="s">
        <v>265</v>
      </c>
      <c r="B148" t="s">
        <v>266</v>
      </c>
      <c r="D148" t="s">
        <v>260</v>
      </c>
    </row>
    <row r="149" spans="1:12" x14ac:dyDescent="0.35">
      <c r="A149" t="s">
        <v>13</v>
      </c>
      <c r="B149" t="s">
        <v>267</v>
      </c>
      <c r="C149" t="s">
        <v>268</v>
      </c>
      <c r="D149" t="s">
        <v>260</v>
      </c>
      <c r="F149">
        <v>0.62732399999999999</v>
      </c>
      <c r="G149">
        <v>0.63031800000000004</v>
      </c>
      <c r="H149">
        <v>0.62685800000000003</v>
      </c>
      <c r="I149">
        <v>0.62318399999999996</v>
      </c>
      <c r="J149">
        <v>0.62122999999999995</v>
      </c>
      <c r="K149">
        <v>0.62052200000000002</v>
      </c>
      <c r="L149" s="1">
        <v>0</v>
      </c>
    </row>
    <row r="150" spans="1:12" x14ac:dyDescent="0.35">
      <c r="A150" t="s">
        <v>16</v>
      </c>
      <c r="B150" t="s">
        <v>269</v>
      </c>
      <c r="C150" t="s">
        <v>270</v>
      </c>
      <c r="D150" t="s">
        <v>260</v>
      </c>
      <c r="F150">
        <v>0.62500299999999998</v>
      </c>
      <c r="G150">
        <v>0.625996</v>
      </c>
      <c r="H150">
        <v>0.62286600000000003</v>
      </c>
      <c r="I150">
        <v>0.62101099999999998</v>
      </c>
      <c r="J150">
        <v>0.620425</v>
      </c>
      <c r="K150">
        <v>0.62035200000000001</v>
      </c>
      <c r="L150" s="1">
        <v>0</v>
      </c>
    </row>
    <row r="151" spans="1:12" x14ac:dyDescent="0.35">
      <c r="A151" t="s">
        <v>271</v>
      </c>
      <c r="B151" t="s">
        <v>272</v>
      </c>
      <c r="D151" t="s">
        <v>260</v>
      </c>
    </row>
    <row r="152" spans="1:12" x14ac:dyDescent="0.35">
      <c r="A152" t="s">
        <v>13</v>
      </c>
      <c r="B152" t="s">
        <v>273</v>
      </c>
      <c r="C152" t="s">
        <v>274</v>
      </c>
      <c r="D152" t="s">
        <v>260</v>
      </c>
      <c r="F152">
        <v>0.64568400000000004</v>
      </c>
      <c r="G152">
        <v>0.66605000000000003</v>
      </c>
      <c r="H152">
        <v>0.66623500000000002</v>
      </c>
      <c r="I152">
        <v>0.66636700000000004</v>
      </c>
      <c r="J152">
        <v>0.66643799999999997</v>
      </c>
      <c r="K152">
        <v>0.66649499999999995</v>
      </c>
      <c r="L152" s="1">
        <v>3.0000000000000001E-3</v>
      </c>
    </row>
    <row r="153" spans="1:12" x14ac:dyDescent="0.35">
      <c r="A153" t="s">
        <v>16</v>
      </c>
      <c r="B153" t="s">
        <v>275</v>
      </c>
      <c r="C153" t="s">
        <v>276</v>
      </c>
      <c r="D153" t="s">
        <v>260</v>
      </c>
      <c r="F153">
        <v>0.64570799999999995</v>
      </c>
      <c r="G153">
        <v>0.66602700000000004</v>
      </c>
      <c r="H153">
        <v>0.66618699999999997</v>
      </c>
      <c r="I153">
        <v>0.66629799999999995</v>
      </c>
      <c r="J153">
        <v>0.66636099999999998</v>
      </c>
      <c r="K153">
        <v>0.66641799999999995</v>
      </c>
      <c r="L153" s="1">
        <v>3.0000000000000001E-3</v>
      </c>
    </row>
    <row r="154" spans="1:12" x14ac:dyDescent="0.35">
      <c r="A154" t="s">
        <v>277</v>
      </c>
      <c r="B154" t="s">
        <v>278</v>
      </c>
      <c r="D154" t="s">
        <v>260</v>
      </c>
    </row>
    <row r="155" spans="1:12" x14ac:dyDescent="0.35">
      <c r="A155" t="s">
        <v>13</v>
      </c>
      <c r="B155" t="s">
        <v>279</v>
      </c>
      <c r="C155" t="s">
        <v>280</v>
      </c>
      <c r="D155" t="s">
        <v>260</v>
      </c>
      <c r="F155">
        <v>0.61690100000000003</v>
      </c>
      <c r="G155">
        <v>0.62184200000000001</v>
      </c>
      <c r="H155">
        <v>0.62076200000000004</v>
      </c>
      <c r="I155">
        <v>0.618919</v>
      </c>
      <c r="J155">
        <v>0.61764300000000005</v>
      </c>
      <c r="K155">
        <v>0.61713799999999996</v>
      </c>
      <c r="L155" s="1">
        <v>1E-3</v>
      </c>
    </row>
    <row r="156" spans="1:12" x14ac:dyDescent="0.35">
      <c r="A156" t="s">
        <v>16</v>
      </c>
      <c r="B156" t="s">
        <v>281</v>
      </c>
      <c r="C156" t="s">
        <v>282</v>
      </c>
      <c r="D156" t="s">
        <v>260</v>
      </c>
      <c r="F156">
        <v>0.61450499999999997</v>
      </c>
      <c r="G156">
        <v>0.61826499999999995</v>
      </c>
      <c r="H156">
        <v>0.61747200000000002</v>
      </c>
      <c r="I156">
        <v>0.61699199999999998</v>
      </c>
      <c r="J156">
        <v>0.61690699999999998</v>
      </c>
      <c r="K156">
        <v>0.61700299999999997</v>
      </c>
      <c r="L156" s="1">
        <v>1E-3</v>
      </c>
    </row>
    <row r="157" spans="1:12" x14ac:dyDescent="0.35">
      <c r="A157" t="s">
        <v>283</v>
      </c>
    </row>
    <row r="158" spans="1:12" x14ac:dyDescent="0.35">
      <c r="A158" t="s">
        <v>178</v>
      </c>
      <c r="B158" t="s">
        <v>284</v>
      </c>
      <c r="D158" t="s">
        <v>285</v>
      </c>
    </row>
    <row r="159" spans="1:12" x14ac:dyDescent="0.35">
      <c r="A159" t="s">
        <v>13</v>
      </c>
      <c r="B159" t="s">
        <v>286</v>
      </c>
      <c r="C159" t="s">
        <v>287</v>
      </c>
      <c r="D159" t="s">
        <v>285</v>
      </c>
      <c r="F159">
        <v>573.78015100000005</v>
      </c>
      <c r="G159">
        <v>537.87042199999996</v>
      </c>
      <c r="H159">
        <v>515.33673099999999</v>
      </c>
      <c r="I159">
        <v>505.38198899999998</v>
      </c>
      <c r="J159">
        <v>504.784088</v>
      </c>
      <c r="K159">
        <v>504.64325000000002</v>
      </c>
      <c r="L159" s="1">
        <v>-6.0000000000000001E-3</v>
      </c>
    </row>
    <row r="160" spans="1:12" x14ac:dyDescent="0.35">
      <c r="A160" t="s">
        <v>16</v>
      </c>
      <c r="B160" t="s">
        <v>288</v>
      </c>
      <c r="C160" t="s">
        <v>289</v>
      </c>
      <c r="D160" t="s">
        <v>285</v>
      </c>
      <c r="F160">
        <v>573.78539999999998</v>
      </c>
      <c r="G160">
        <v>537.81805399999996</v>
      </c>
      <c r="H160">
        <v>515.20989999999995</v>
      </c>
      <c r="I160">
        <v>505.20517000000001</v>
      </c>
      <c r="J160">
        <v>504.603363</v>
      </c>
      <c r="K160">
        <v>504.49899299999998</v>
      </c>
      <c r="L160" s="1">
        <v>-6.0000000000000001E-3</v>
      </c>
    </row>
    <row r="161" spans="1:12" x14ac:dyDescent="0.35">
      <c r="A161" t="s">
        <v>184</v>
      </c>
      <c r="B161" t="s">
        <v>290</v>
      </c>
      <c r="D161" t="s">
        <v>285</v>
      </c>
    </row>
    <row r="162" spans="1:12" x14ac:dyDescent="0.35">
      <c r="A162" t="s">
        <v>13</v>
      </c>
      <c r="B162" t="s">
        <v>291</v>
      </c>
      <c r="C162" t="s">
        <v>292</v>
      </c>
      <c r="D162" t="s">
        <v>285</v>
      </c>
      <c r="F162">
        <v>433.82998700000002</v>
      </c>
      <c r="G162">
        <v>410.096924</v>
      </c>
      <c r="H162">
        <v>392.090485</v>
      </c>
      <c r="I162">
        <v>380.19821200000001</v>
      </c>
      <c r="J162">
        <v>374.65905800000002</v>
      </c>
      <c r="K162">
        <v>374.38818400000002</v>
      </c>
      <c r="L162" s="1">
        <v>-6.0000000000000001E-3</v>
      </c>
    </row>
    <row r="163" spans="1:12" x14ac:dyDescent="0.35">
      <c r="A163" t="s">
        <v>16</v>
      </c>
      <c r="B163" t="s">
        <v>293</v>
      </c>
      <c r="C163" t="s">
        <v>294</v>
      </c>
      <c r="D163" t="s">
        <v>285</v>
      </c>
      <c r="F163">
        <v>433.83548000000002</v>
      </c>
      <c r="G163">
        <v>410.08453400000002</v>
      </c>
      <c r="H163">
        <v>392.06347699999998</v>
      </c>
      <c r="I163">
        <v>380.15304600000002</v>
      </c>
      <c r="J163">
        <v>374.60223400000001</v>
      </c>
      <c r="K163">
        <v>374.332245</v>
      </c>
      <c r="L163" s="1">
        <v>-6.0000000000000001E-3</v>
      </c>
    </row>
    <row r="164" spans="1:12" x14ac:dyDescent="0.35">
      <c r="A164" t="s">
        <v>295</v>
      </c>
    </row>
    <row r="165" spans="1:12" x14ac:dyDescent="0.35">
      <c r="A165" t="s">
        <v>296</v>
      </c>
    </row>
    <row r="166" spans="1:12" x14ac:dyDescent="0.35">
      <c r="A166" t="s">
        <v>297</v>
      </c>
      <c r="B166" t="s">
        <v>298</v>
      </c>
      <c r="D166" t="s">
        <v>299</v>
      </c>
    </row>
    <row r="167" spans="1:12" x14ac:dyDescent="0.35">
      <c r="A167" t="s">
        <v>13</v>
      </c>
      <c r="B167" t="s">
        <v>300</v>
      </c>
      <c r="C167" t="s">
        <v>301</v>
      </c>
      <c r="D167" t="s">
        <v>299</v>
      </c>
      <c r="F167">
        <v>0.93102499999999999</v>
      </c>
      <c r="G167">
        <v>0.90287099999999998</v>
      </c>
      <c r="H167">
        <v>0.867313</v>
      </c>
      <c r="I167">
        <v>0.83236500000000002</v>
      </c>
      <c r="J167">
        <v>0.79865799999999998</v>
      </c>
      <c r="K167">
        <v>0.76516499999999998</v>
      </c>
      <c r="L167" s="1">
        <v>-8.0000000000000002E-3</v>
      </c>
    </row>
    <row r="168" spans="1:12" x14ac:dyDescent="0.35">
      <c r="A168" t="s">
        <v>16</v>
      </c>
      <c r="B168" t="s">
        <v>302</v>
      </c>
      <c r="C168" t="s">
        <v>303</v>
      </c>
      <c r="D168" t="s">
        <v>299</v>
      </c>
      <c r="F168">
        <v>0.93123699999999998</v>
      </c>
      <c r="G168">
        <v>0.90096299999999996</v>
      </c>
      <c r="H168">
        <v>0.86589700000000003</v>
      </c>
      <c r="I168">
        <v>0.83094199999999996</v>
      </c>
      <c r="J168">
        <v>0.79766099999999995</v>
      </c>
      <c r="K168">
        <v>0.76489499999999999</v>
      </c>
      <c r="L168" s="1">
        <v>-8.0000000000000002E-3</v>
      </c>
    </row>
    <row r="169" spans="1:12" x14ac:dyDescent="0.35">
      <c r="A169" t="s">
        <v>304</v>
      </c>
      <c r="B169" t="s">
        <v>305</v>
      </c>
      <c r="D169" t="s">
        <v>299</v>
      </c>
    </row>
    <row r="170" spans="1:12" x14ac:dyDescent="0.35">
      <c r="A170" t="s">
        <v>13</v>
      </c>
      <c r="B170" t="s">
        <v>306</v>
      </c>
      <c r="C170" t="s">
        <v>307</v>
      </c>
      <c r="D170" t="s">
        <v>299</v>
      </c>
      <c r="F170">
        <v>0.77489200000000003</v>
      </c>
      <c r="G170">
        <v>0.77132599999999996</v>
      </c>
      <c r="H170">
        <v>0.88260099999999997</v>
      </c>
      <c r="I170">
        <v>0.88129299999999999</v>
      </c>
      <c r="J170">
        <v>0.87481500000000001</v>
      </c>
      <c r="K170">
        <v>0.87474700000000005</v>
      </c>
      <c r="L170" s="1">
        <v>2E-3</v>
      </c>
    </row>
    <row r="171" spans="1:12" x14ac:dyDescent="0.35">
      <c r="A171" t="s">
        <v>16</v>
      </c>
      <c r="B171" t="s">
        <v>308</v>
      </c>
      <c r="C171" t="s">
        <v>309</v>
      </c>
      <c r="D171" t="s">
        <v>299</v>
      </c>
      <c r="F171">
        <v>0.88724499999999995</v>
      </c>
      <c r="G171">
        <v>0.88521899999999998</v>
      </c>
      <c r="H171">
        <v>0.88198900000000002</v>
      </c>
      <c r="I171">
        <v>0.88052900000000001</v>
      </c>
      <c r="J171">
        <v>0.87379399999999996</v>
      </c>
      <c r="K171">
        <v>0.87444299999999997</v>
      </c>
      <c r="L171" s="1">
        <v>-1E-3</v>
      </c>
    </row>
    <row r="172" spans="1:12" x14ac:dyDescent="0.35">
      <c r="A172" t="s">
        <v>310</v>
      </c>
      <c r="B172" t="s">
        <v>311</v>
      </c>
      <c r="D172" t="s">
        <v>299</v>
      </c>
    </row>
    <row r="173" spans="1:12" x14ac:dyDescent="0.35">
      <c r="A173" t="s">
        <v>13</v>
      </c>
      <c r="B173" t="s">
        <v>312</v>
      </c>
      <c r="C173" t="s">
        <v>313</v>
      </c>
      <c r="D173" t="s">
        <v>299</v>
      </c>
      <c r="F173">
        <v>0.91953300000000004</v>
      </c>
      <c r="G173">
        <v>0.88771699999999998</v>
      </c>
      <c r="H173">
        <v>0.85676600000000003</v>
      </c>
      <c r="I173">
        <v>0.83145999999999998</v>
      </c>
      <c r="J173">
        <v>0.80911299999999997</v>
      </c>
      <c r="K173">
        <v>0.78863000000000005</v>
      </c>
      <c r="L173" s="1">
        <v>-6.0000000000000001E-3</v>
      </c>
    </row>
    <row r="174" spans="1:12" x14ac:dyDescent="0.35">
      <c r="A174" t="s">
        <v>16</v>
      </c>
      <c r="B174" t="s">
        <v>314</v>
      </c>
      <c r="C174" t="s">
        <v>315</v>
      </c>
      <c r="D174" t="s">
        <v>299</v>
      </c>
      <c r="F174">
        <v>0.92476599999999998</v>
      </c>
      <c r="G174">
        <v>0.89731300000000003</v>
      </c>
      <c r="H174">
        <v>0.86875000000000002</v>
      </c>
      <c r="I174">
        <v>0.84289599999999998</v>
      </c>
      <c r="J174">
        <v>0.82037199999999999</v>
      </c>
      <c r="K174">
        <v>0.79993999999999998</v>
      </c>
      <c r="L174" s="1">
        <v>-6.0000000000000001E-3</v>
      </c>
    </row>
    <row r="175" spans="1:12" x14ac:dyDescent="0.35">
      <c r="A175" t="s">
        <v>225</v>
      </c>
    </row>
    <row r="176" spans="1:12" x14ac:dyDescent="0.35">
      <c r="A176" t="s">
        <v>297</v>
      </c>
      <c r="B176" t="s">
        <v>316</v>
      </c>
      <c r="D176" t="s">
        <v>299</v>
      </c>
    </row>
    <row r="177" spans="1:12" x14ac:dyDescent="0.35">
      <c r="A177" t="s">
        <v>13</v>
      </c>
      <c r="B177" t="s">
        <v>317</v>
      </c>
      <c r="C177" t="s">
        <v>318</v>
      </c>
      <c r="D177" t="s">
        <v>299</v>
      </c>
      <c r="F177">
        <v>0.97557099999999997</v>
      </c>
      <c r="G177">
        <v>0.96549499999999999</v>
      </c>
      <c r="H177">
        <v>0.952708</v>
      </c>
      <c r="I177">
        <v>0.940056</v>
      </c>
      <c r="J177">
        <v>0.92771400000000004</v>
      </c>
      <c r="K177">
        <v>0.91531200000000001</v>
      </c>
      <c r="L177" s="1">
        <v>-3.0000000000000001E-3</v>
      </c>
    </row>
    <row r="178" spans="1:12" x14ac:dyDescent="0.35">
      <c r="A178" t="s">
        <v>16</v>
      </c>
      <c r="B178" t="s">
        <v>319</v>
      </c>
      <c r="C178" t="s">
        <v>320</v>
      </c>
      <c r="D178" t="s">
        <v>299</v>
      </c>
      <c r="F178">
        <v>0.97565800000000003</v>
      </c>
      <c r="G178">
        <v>0.96490900000000002</v>
      </c>
      <c r="H178">
        <v>0.95223800000000003</v>
      </c>
      <c r="I178">
        <v>0.93950900000000004</v>
      </c>
      <c r="J178">
        <v>0.92727599999999999</v>
      </c>
      <c r="K178">
        <v>0.91518699999999997</v>
      </c>
      <c r="L178" s="1">
        <v>-3.0000000000000001E-3</v>
      </c>
    </row>
    <row r="179" spans="1:12" x14ac:dyDescent="0.35">
      <c r="A179" t="s">
        <v>304</v>
      </c>
      <c r="B179" t="s">
        <v>321</v>
      </c>
      <c r="D179" t="s">
        <v>299</v>
      </c>
    </row>
    <row r="180" spans="1:12" x14ac:dyDescent="0.35">
      <c r="A180" t="s">
        <v>13</v>
      </c>
      <c r="B180" t="s">
        <v>322</v>
      </c>
      <c r="C180" t="s">
        <v>323</v>
      </c>
      <c r="D180" t="s">
        <v>299</v>
      </c>
      <c r="F180">
        <v>0.95875100000000002</v>
      </c>
      <c r="G180">
        <v>0.95821699999999999</v>
      </c>
      <c r="H180">
        <v>0.99954100000000001</v>
      </c>
      <c r="I180">
        <v>1.000248</v>
      </c>
      <c r="J180">
        <v>0.99830399999999997</v>
      </c>
      <c r="K180">
        <v>1.0001139999999999</v>
      </c>
      <c r="L180" s="1">
        <v>1E-3</v>
      </c>
    </row>
    <row r="181" spans="1:12" x14ac:dyDescent="0.35">
      <c r="A181" t="s">
        <v>16</v>
      </c>
      <c r="B181" t="s">
        <v>324</v>
      </c>
      <c r="C181" t="s">
        <v>325</v>
      </c>
      <c r="D181" t="s">
        <v>299</v>
      </c>
      <c r="F181">
        <v>1.000238</v>
      </c>
      <c r="G181">
        <v>0.99986600000000003</v>
      </c>
      <c r="H181">
        <v>0.99955499999999997</v>
      </c>
      <c r="I181">
        <v>1.000173</v>
      </c>
      <c r="J181">
        <v>0.997807</v>
      </c>
      <c r="K181">
        <v>1.0000340000000001</v>
      </c>
      <c r="L181" s="1">
        <v>0</v>
      </c>
    </row>
    <row r="182" spans="1:12" x14ac:dyDescent="0.35">
      <c r="A182" t="s">
        <v>310</v>
      </c>
      <c r="B182" t="s">
        <v>326</v>
      </c>
      <c r="D182" t="s">
        <v>299</v>
      </c>
    </row>
    <row r="183" spans="1:12" x14ac:dyDescent="0.35">
      <c r="A183" t="s">
        <v>13</v>
      </c>
      <c r="B183" t="s">
        <v>327</v>
      </c>
      <c r="C183" t="s">
        <v>328</v>
      </c>
      <c r="D183" t="s">
        <v>299</v>
      </c>
      <c r="F183">
        <v>0.97603300000000004</v>
      </c>
      <c r="G183">
        <v>0.966445</v>
      </c>
      <c r="H183">
        <v>0.95631500000000003</v>
      </c>
      <c r="I183">
        <v>0.94758100000000001</v>
      </c>
      <c r="J183">
        <v>0.93948399999999999</v>
      </c>
      <c r="K183">
        <v>0.93163799999999997</v>
      </c>
      <c r="L183" s="1">
        <v>-2E-3</v>
      </c>
    </row>
    <row r="184" spans="1:12" x14ac:dyDescent="0.35">
      <c r="A184" t="s">
        <v>16</v>
      </c>
      <c r="B184" t="s">
        <v>329</v>
      </c>
      <c r="C184" t="s">
        <v>330</v>
      </c>
      <c r="D184" t="s">
        <v>299</v>
      </c>
      <c r="F184">
        <v>0.97769099999999998</v>
      </c>
      <c r="G184">
        <v>0.96936999999999995</v>
      </c>
      <c r="H184">
        <v>0.95987199999999995</v>
      </c>
      <c r="I184">
        <v>0.95087100000000002</v>
      </c>
      <c r="J184">
        <v>0.94267699999999999</v>
      </c>
      <c r="K184">
        <v>0.93488499999999997</v>
      </c>
      <c r="L184" s="1">
        <v>-2E-3</v>
      </c>
    </row>
    <row r="185" spans="1:12" x14ac:dyDescent="0.35">
      <c r="A185" t="s">
        <v>331</v>
      </c>
    </row>
    <row r="186" spans="1:12" x14ac:dyDescent="0.35">
      <c r="A186" t="s">
        <v>332</v>
      </c>
    </row>
    <row r="187" spans="1:12" x14ac:dyDescent="0.35">
      <c r="A187" t="s">
        <v>333</v>
      </c>
    </row>
    <row r="188" spans="1:12" x14ac:dyDescent="0.35">
      <c r="A188" t="s">
        <v>334</v>
      </c>
      <c r="B188" t="s">
        <v>335</v>
      </c>
      <c r="D188" t="s">
        <v>336</v>
      </c>
    </row>
    <row r="189" spans="1:12" x14ac:dyDescent="0.35">
      <c r="A189" t="s">
        <v>13</v>
      </c>
      <c r="B189" t="s">
        <v>337</v>
      </c>
      <c r="C189" t="s">
        <v>338</v>
      </c>
      <c r="D189" t="s">
        <v>336</v>
      </c>
      <c r="F189">
        <v>0</v>
      </c>
      <c r="G189">
        <v>0</v>
      </c>
      <c r="H189">
        <v>5.0000000000000004E-6</v>
      </c>
      <c r="I189">
        <v>1.55E-4</v>
      </c>
      <c r="J189">
        <v>8.1599999999999999E-4</v>
      </c>
      <c r="K189">
        <v>1.488E-3</v>
      </c>
      <c r="L189" t="s">
        <v>339</v>
      </c>
    </row>
    <row r="190" spans="1:12" x14ac:dyDescent="0.35">
      <c r="A190" t="s">
        <v>16</v>
      </c>
      <c r="B190" t="s">
        <v>340</v>
      </c>
      <c r="C190" t="s">
        <v>341</v>
      </c>
      <c r="D190" t="s">
        <v>336</v>
      </c>
      <c r="F190">
        <v>0</v>
      </c>
      <c r="G190">
        <v>0</v>
      </c>
      <c r="H190">
        <v>5.0000000000000004E-6</v>
      </c>
      <c r="I190">
        <v>1.55E-4</v>
      </c>
      <c r="J190">
        <v>8.1700000000000002E-4</v>
      </c>
      <c r="K190">
        <v>1.488E-3</v>
      </c>
      <c r="L190" t="s">
        <v>339</v>
      </c>
    </row>
    <row r="191" spans="1:12" x14ac:dyDescent="0.35">
      <c r="A191" t="s">
        <v>342</v>
      </c>
      <c r="B191" t="s">
        <v>343</v>
      </c>
      <c r="D191" t="s">
        <v>336</v>
      </c>
    </row>
    <row r="192" spans="1:12" x14ac:dyDescent="0.35">
      <c r="A192" t="s">
        <v>13</v>
      </c>
      <c r="B192" t="s">
        <v>344</v>
      </c>
      <c r="C192" t="s">
        <v>345</v>
      </c>
      <c r="D192" t="s">
        <v>336</v>
      </c>
      <c r="F192">
        <v>34.213085</v>
      </c>
      <c r="G192">
        <v>49.715114999999997</v>
      </c>
      <c r="H192">
        <v>68.113708000000003</v>
      </c>
      <c r="I192">
        <v>88.482719000000003</v>
      </c>
      <c r="J192">
        <v>115.976173</v>
      </c>
      <c r="K192">
        <v>149.97357199999999</v>
      </c>
      <c r="L192" s="1">
        <v>6.5000000000000002E-2</v>
      </c>
    </row>
    <row r="193" spans="1:12" x14ac:dyDescent="0.35">
      <c r="A193" t="s">
        <v>16</v>
      </c>
      <c r="B193" t="s">
        <v>346</v>
      </c>
      <c r="C193" t="s">
        <v>347</v>
      </c>
      <c r="D193" t="s">
        <v>336</v>
      </c>
      <c r="F193">
        <v>32.281139000000003</v>
      </c>
      <c r="G193">
        <v>44.272933999999999</v>
      </c>
      <c r="H193">
        <v>60.289287999999999</v>
      </c>
      <c r="I193">
        <v>81.511925000000005</v>
      </c>
      <c r="J193">
        <v>109.687439</v>
      </c>
      <c r="K193">
        <v>145.06817599999999</v>
      </c>
      <c r="L193" s="1">
        <v>6.4000000000000001E-2</v>
      </c>
    </row>
    <row r="194" spans="1:12" x14ac:dyDescent="0.35">
      <c r="A194" t="s">
        <v>348</v>
      </c>
      <c r="B194" t="s">
        <v>349</v>
      </c>
      <c r="D194" t="s">
        <v>336</v>
      </c>
    </row>
    <row r="195" spans="1:12" x14ac:dyDescent="0.35">
      <c r="A195" t="s">
        <v>13</v>
      </c>
      <c r="B195" t="s">
        <v>350</v>
      </c>
      <c r="C195" t="s">
        <v>351</v>
      </c>
      <c r="D195" t="s">
        <v>336</v>
      </c>
      <c r="F195">
        <v>8.1515000000000004E-2</v>
      </c>
      <c r="G195">
        <v>0.11409</v>
      </c>
      <c r="H195">
        <v>0.13331799999999999</v>
      </c>
      <c r="I195">
        <v>0.13361799999999999</v>
      </c>
      <c r="J195">
        <v>0.13494</v>
      </c>
      <c r="K195">
        <v>0.13628499999999999</v>
      </c>
      <c r="L195" s="1">
        <v>2.8000000000000001E-2</v>
      </c>
    </row>
    <row r="196" spans="1:12" x14ac:dyDescent="0.35">
      <c r="A196" t="s">
        <v>16</v>
      </c>
      <c r="B196" t="s">
        <v>352</v>
      </c>
      <c r="C196" t="s">
        <v>353</v>
      </c>
      <c r="D196" t="s">
        <v>336</v>
      </c>
      <c r="F196">
        <v>2.4136000000000001E-2</v>
      </c>
      <c r="G196">
        <v>2.4136000000000001E-2</v>
      </c>
      <c r="H196">
        <v>2.4146000000000001E-2</v>
      </c>
      <c r="I196">
        <v>2.4445000000000001E-2</v>
      </c>
      <c r="J196">
        <v>2.5769E-2</v>
      </c>
      <c r="K196">
        <v>2.7112000000000001E-2</v>
      </c>
      <c r="L196" s="1">
        <v>1.2E-2</v>
      </c>
    </row>
    <row r="197" spans="1:12" x14ac:dyDescent="0.35">
      <c r="A197" t="s">
        <v>67</v>
      </c>
      <c r="B197" t="s">
        <v>354</v>
      </c>
      <c r="D197" t="s">
        <v>336</v>
      </c>
    </row>
    <row r="198" spans="1:12" x14ac:dyDescent="0.35">
      <c r="A198" t="s">
        <v>13</v>
      </c>
      <c r="B198" t="s">
        <v>355</v>
      </c>
      <c r="C198" t="s">
        <v>356</v>
      </c>
      <c r="D198" t="s">
        <v>336</v>
      </c>
      <c r="F198">
        <v>34.294601</v>
      </c>
      <c r="G198">
        <v>49.829205000000002</v>
      </c>
      <c r="H198">
        <v>68.247032000000004</v>
      </c>
      <c r="I198">
        <v>88.616493000000006</v>
      </c>
      <c r="J198">
        <v>116.111931</v>
      </c>
      <c r="K198">
        <v>150.11135899999999</v>
      </c>
      <c r="L198" s="1">
        <v>6.5000000000000002E-2</v>
      </c>
    </row>
    <row r="199" spans="1:12" x14ac:dyDescent="0.35">
      <c r="A199" t="s">
        <v>16</v>
      </c>
      <c r="B199" t="s">
        <v>357</v>
      </c>
      <c r="C199" t="s">
        <v>358</v>
      </c>
      <c r="D199" t="s">
        <v>336</v>
      </c>
      <c r="F199">
        <v>32.305275000000002</v>
      </c>
      <c r="G199">
        <v>44.297069999999998</v>
      </c>
      <c r="H199">
        <v>60.313437999999998</v>
      </c>
      <c r="I199">
        <v>81.536522000000005</v>
      </c>
      <c r="J199">
        <v>109.714027</v>
      </c>
      <c r="K199">
        <v>145.09678600000001</v>
      </c>
      <c r="L199" s="1">
        <v>6.4000000000000001E-2</v>
      </c>
    </row>
    <row r="200" spans="1:12" x14ac:dyDescent="0.35">
      <c r="A200" t="s">
        <v>359</v>
      </c>
    </row>
    <row r="201" spans="1:12" x14ac:dyDescent="0.35">
      <c r="A201" t="s">
        <v>334</v>
      </c>
      <c r="B201" t="s">
        <v>360</v>
      </c>
      <c r="D201" t="s">
        <v>361</v>
      </c>
    </row>
    <row r="202" spans="1:12" x14ac:dyDescent="0.35">
      <c r="A202" t="s">
        <v>13</v>
      </c>
      <c r="B202" t="s">
        <v>362</v>
      </c>
      <c r="C202" t="s">
        <v>363</v>
      </c>
      <c r="D202" t="s">
        <v>361</v>
      </c>
      <c r="F202">
        <v>0</v>
      </c>
      <c r="G202">
        <v>0</v>
      </c>
      <c r="H202">
        <v>1.4E-5</v>
      </c>
      <c r="I202">
        <v>4.3100000000000001E-4</v>
      </c>
      <c r="J202">
        <v>2.2759999999999998E-3</v>
      </c>
      <c r="K202">
        <v>4.1520000000000003E-3</v>
      </c>
      <c r="L202" t="s">
        <v>339</v>
      </c>
    </row>
    <row r="203" spans="1:12" x14ac:dyDescent="0.35">
      <c r="A203" t="s">
        <v>16</v>
      </c>
      <c r="B203" t="s">
        <v>364</v>
      </c>
      <c r="C203" t="s">
        <v>365</v>
      </c>
      <c r="D203" t="s">
        <v>361</v>
      </c>
      <c r="F203">
        <v>0</v>
      </c>
      <c r="G203">
        <v>0</v>
      </c>
      <c r="H203">
        <v>1.4E-5</v>
      </c>
      <c r="I203">
        <v>4.3100000000000001E-4</v>
      </c>
      <c r="J203">
        <v>2.2780000000000001E-3</v>
      </c>
      <c r="K203">
        <v>4.1520000000000003E-3</v>
      </c>
      <c r="L203" t="s">
        <v>339</v>
      </c>
    </row>
    <row r="204" spans="1:12" x14ac:dyDescent="0.35">
      <c r="A204" t="s">
        <v>342</v>
      </c>
      <c r="B204" t="s">
        <v>366</v>
      </c>
      <c r="D204" t="s">
        <v>361</v>
      </c>
    </row>
    <row r="205" spans="1:12" x14ac:dyDescent="0.35">
      <c r="A205" t="s">
        <v>13</v>
      </c>
      <c r="B205" t="s">
        <v>367</v>
      </c>
      <c r="C205" t="s">
        <v>368</v>
      </c>
      <c r="D205" t="s">
        <v>361</v>
      </c>
      <c r="F205">
        <v>52.818500999999998</v>
      </c>
      <c r="G205">
        <v>78.436142000000004</v>
      </c>
      <c r="H205">
        <v>108.095085</v>
      </c>
      <c r="I205">
        <v>140.40329</v>
      </c>
      <c r="J205">
        <v>182.859161</v>
      </c>
      <c r="K205">
        <v>234.46116599999999</v>
      </c>
      <c r="L205" s="1">
        <v>6.6000000000000003E-2</v>
      </c>
    </row>
    <row r="206" spans="1:12" x14ac:dyDescent="0.35">
      <c r="A206" t="s">
        <v>16</v>
      </c>
      <c r="B206" t="s">
        <v>369</v>
      </c>
      <c r="C206" t="s">
        <v>370</v>
      </c>
      <c r="D206" t="s">
        <v>361</v>
      </c>
      <c r="F206">
        <v>49.909968999999997</v>
      </c>
      <c r="G206">
        <v>70.285126000000005</v>
      </c>
      <c r="H206">
        <v>96.413567</v>
      </c>
      <c r="I206">
        <v>129.95756499999999</v>
      </c>
      <c r="J206">
        <v>173.402298</v>
      </c>
      <c r="K206">
        <v>226.99357599999999</v>
      </c>
      <c r="L206" s="1">
        <v>6.5000000000000002E-2</v>
      </c>
    </row>
    <row r="207" spans="1:12" x14ac:dyDescent="0.35">
      <c r="A207" t="s">
        <v>348</v>
      </c>
      <c r="B207" t="s">
        <v>371</v>
      </c>
      <c r="D207" t="s">
        <v>361</v>
      </c>
    </row>
    <row r="208" spans="1:12" x14ac:dyDescent="0.35">
      <c r="A208" t="s">
        <v>13</v>
      </c>
      <c r="B208" t="s">
        <v>372</v>
      </c>
      <c r="C208" t="s">
        <v>373</v>
      </c>
      <c r="D208" t="s">
        <v>361</v>
      </c>
      <c r="F208">
        <v>8.7524000000000005E-2</v>
      </c>
      <c r="G208">
        <v>0.120911</v>
      </c>
      <c r="H208">
        <v>0.14061899999999999</v>
      </c>
      <c r="I208">
        <v>0.14092499999999999</v>
      </c>
      <c r="J208">
        <v>0.14227999999999999</v>
      </c>
      <c r="K208">
        <v>0.143655</v>
      </c>
      <c r="L208" s="1">
        <v>2.7E-2</v>
      </c>
    </row>
    <row r="209" spans="1:12" x14ac:dyDescent="0.35">
      <c r="A209" t="s">
        <v>16</v>
      </c>
      <c r="B209" t="s">
        <v>374</v>
      </c>
      <c r="C209" t="s">
        <v>375</v>
      </c>
      <c r="D209" t="s">
        <v>361</v>
      </c>
      <c r="F209">
        <v>2.8715000000000001E-2</v>
      </c>
      <c r="G209">
        <v>2.8715000000000001E-2</v>
      </c>
      <c r="H209">
        <v>2.8726000000000002E-2</v>
      </c>
      <c r="I209">
        <v>2.9033E-2</v>
      </c>
      <c r="J209">
        <v>3.0388999999999999E-2</v>
      </c>
      <c r="K209">
        <v>3.1761999999999999E-2</v>
      </c>
      <c r="L209" s="1">
        <v>0.01</v>
      </c>
    </row>
    <row r="210" spans="1:12" x14ac:dyDescent="0.35">
      <c r="A210" t="s">
        <v>67</v>
      </c>
      <c r="B210" t="s">
        <v>376</v>
      </c>
      <c r="D210" t="s">
        <v>361</v>
      </c>
    </row>
    <row r="211" spans="1:12" x14ac:dyDescent="0.35">
      <c r="A211" t="s">
        <v>13</v>
      </c>
      <c r="B211" t="s">
        <v>377</v>
      </c>
      <c r="C211" t="s">
        <v>378</v>
      </c>
      <c r="D211" t="s">
        <v>361</v>
      </c>
      <c r="F211">
        <v>52.906025</v>
      </c>
      <c r="G211">
        <v>78.557052999999996</v>
      </c>
      <c r="H211">
        <v>108.23571800000001</v>
      </c>
      <c r="I211">
        <v>140.544647</v>
      </c>
      <c r="J211">
        <v>183.00370799999999</v>
      </c>
      <c r="K211">
        <v>234.60897800000001</v>
      </c>
      <c r="L211" s="1">
        <v>6.6000000000000003E-2</v>
      </c>
    </row>
    <row r="212" spans="1:12" x14ac:dyDescent="0.35">
      <c r="A212" t="s">
        <v>16</v>
      </c>
      <c r="B212" t="s">
        <v>379</v>
      </c>
      <c r="C212" t="s">
        <v>380</v>
      </c>
      <c r="D212" t="s">
        <v>361</v>
      </c>
      <c r="F212">
        <v>49.938685999999997</v>
      </c>
      <c r="G212">
        <v>70.313843000000006</v>
      </c>
      <c r="H212">
        <v>96.442307</v>
      </c>
      <c r="I212">
        <v>129.98703</v>
      </c>
      <c r="J212">
        <v>173.434967</v>
      </c>
      <c r="K212">
        <v>227.029495</v>
      </c>
      <c r="L212" s="1">
        <v>6.5000000000000002E-2</v>
      </c>
    </row>
    <row r="213" spans="1:12" x14ac:dyDescent="0.35">
      <c r="A213" t="s">
        <v>381</v>
      </c>
    </row>
    <row r="214" spans="1:12" x14ac:dyDescent="0.35">
      <c r="A214" t="s">
        <v>382</v>
      </c>
      <c r="B214" t="s">
        <v>383</v>
      </c>
      <c r="D214" t="s">
        <v>361</v>
      </c>
    </row>
    <row r="215" spans="1:12" x14ac:dyDescent="0.35">
      <c r="A215" t="s">
        <v>13</v>
      </c>
      <c r="B215" t="s">
        <v>384</v>
      </c>
      <c r="C215" t="s">
        <v>385</v>
      </c>
      <c r="D215" t="s">
        <v>361</v>
      </c>
      <c r="F215">
        <v>9.0090249999999994</v>
      </c>
      <c r="G215">
        <v>14.131605</v>
      </c>
      <c r="H215">
        <v>20.464827</v>
      </c>
      <c r="I215">
        <v>27.590239</v>
      </c>
      <c r="J215">
        <v>37.173237</v>
      </c>
      <c r="K215">
        <v>48.640495000000001</v>
      </c>
      <c r="L215" s="1">
        <v>7.6999999999999999E-2</v>
      </c>
    </row>
    <row r="216" spans="1:12" x14ac:dyDescent="0.35">
      <c r="A216" t="s">
        <v>16</v>
      </c>
      <c r="B216" t="s">
        <v>386</v>
      </c>
      <c r="C216" t="s">
        <v>387</v>
      </c>
      <c r="D216" t="s">
        <v>361</v>
      </c>
      <c r="F216">
        <v>8.4147390000000009</v>
      </c>
      <c r="G216">
        <v>12.421391</v>
      </c>
      <c r="H216">
        <v>17.8521</v>
      </c>
      <c r="I216">
        <v>25.118551</v>
      </c>
      <c r="J216">
        <v>34.817444000000002</v>
      </c>
      <c r="K216">
        <v>46.635379999999998</v>
      </c>
      <c r="L216" s="1">
        <v>7.4999999999999997E-2</v>
      </c>
    </row>
    <row r="217" spans="1:12" x14ac:dyDescent="0.35">
      <c r="A217" t="s">
        <v>388</v>
      </c>
      <c r="B217" t="s">
        <v>389</v>
      </c>
      <c r="D217" t="s">
        <v>361</v>
      </c>
    </row>
    <row r="218" spans="1:12" x14ac:dyDescent="0.35">
      <c r="A218" t="s">
        <v>13</v>
      </c>
      <c r="B218" t="s">
        <v>390</v>
      </c>
      <c r="C218" t="s">
        <v>391</v>
      </c>
      <c r="D218" t="s">
        <v>361</v>
      </c>
      <c r="F218">
        <v>43.896996000000001</v>
      </c>
      <c r="G218">
        <v>64.425438</v>
      </c>
      <c r="H218">
        <v>87.770882</v>
      </c>
      <c r="I218">
        <v>112.954407</v>
      </c>
      <c r="J218">
        <v>145.83049</v>
      </c>
      <c r="K218">
        <v>185.968491</v>
      </c>
      <c r="L218" s="1">
        <v>6.4000000000000001E-2</v>
      </c>
    </row>
    <row r="219" spans="1:12" x14ac:dyDescent="0.35">
      <c r="A219" t="s">
        <v>16</v>
      </c>
      <c r="B219" t="s">
        <v>392</v>
      </c>
      <c r="C219" t="s">
        <v>393</v>
      </c>
      <c r="D219" t="s">
        <v>361</v>
      </c>
      <c r="F219">
        <v>41.523949000000002</v>
      </c>
      <c r="G219">
        <v>57.892448000000002</v>
      </c>
      <c r="H219">
        <v>78.590202000000005</v>
      </c>
      <c r="I219">
        <v>104.868477</v>
      </c>
      <c r="J219">
        <v>138.61752300000001</v>
      </c>
      <c r="K219">
        <v>180.394104</v>
      </c>
      <c r="L219" s="1">
        <v>6.3E-2</v>
      </c>
    </row>
    <row r="220" spans="1:12" x14ac:dyDescent="0.35">
      <c r="A220" t="s">
        <v>394</v>
      </c>
    </row>
    <row r="221" spans="1:12" x14ac:dyDescent="0.35">
      <c r="A221" t="s">
        <v>334</v>
      </c>
      <c r="B221" t="s">
        <v>395</v>
      </c>
      <c r="D221" t="s">
        <v>396</v>
      </c>
    </row>
    <row r="222" spans="1:12" x14ac:dyDescent="0.35">
      <c r="A222" t="s">
        <v>13</v>
      </c>
      <c r="B222" t="s">
        <v>397</v>
      </c>
      <c r="C222" t="s">
        <v>398</v>
      </c>
      <c r="D222" t="s">
        <v>396</v>
      </c>
      <c r="F222">
        <v>0</v>
      </c>
      <c r="G222">
        <v>0</v>
      </c>
      <c r="H222">
        <v>1.08E-4</v>
      </c>
      <c r="I222">
        <v>3.277E-3</v>
      </c>
      <c r="J222">
        <v>1.7170999999999999E-2</v>
      </c>
      <c r="K222">
        <v>3.1149E-2</v>
      </c>
      <c r="L222" t="s">
        <v>339</v>
      </c>
    </row>
    <row r="223" spans="1:12" x14ac:dyDescent="0.35">
      <c r="A223" t="s">
        <v>16</v>
      </c>
      <c r="B223" t="s">
        <v>399</v>
      </c>
      <c r="C223" t="s">
        <v>400</v>
      </c>
      <c r="D223" t="s">
        <v>396</v>
      </c>
      <c r="F223">
        <v>0</v>
      </c>
      <c r="G223">
        <v>0</v>
      </c>
      <c r="H223">
        <v>1.08E-4</v>
      </c>
      <c r="I223">
        <v>3.2780000000000001E-3</v>
      </c>
      <c r="J223">
        <v>1.719E-2</v>
      </c>
      <c r="K223">
        <v>3.1146E-2</v>
      </c>
      <c r="L223" t="s">
        <v>339</v>
      </c>
    </row>
    <row r="224" spans="1:12" x14ac:dyDescent="0.35">
      <c r="A224" t="s">
        <v>342</v>
      </c>
      <c r="B224" t="s">
        <v>401</v>
      </c>
      <c r="D224" t="s">
        <v>396</v>
      </c>
    </row>
    <row r="225" spans="1:12" x14ac:dyDescent="0.35">
      <c r="A225" t="s">
        <v>13</v>
      </c>
      <c r="B225" t="s">
        <v>402</v>
      </c>
      <c r="C225" t="s">
        <v>403</v>
      </c>
      <c r="D225" t="s">
        <v>396</v>
      </c>
      <c r="F225">
        <v>434.42645299999998</v>
      </c>
      <c r="G225">
        <v>635.009094</v>
      </c>
      <c r="H225">
        <v>883.02221699999996</v>
      </c>
      <c r="I225">
        <v>1132.4677730000001</v>
      </c>
      <c r="J225">
        <v>1483.5311280000001</v>
      </c>
      <c r="K225">
        <v>1890.2470699999999</v>
      </c>
      <c r="L225" s="1">
        <v>6.5000000000000002E-2</v>
      </c>
    </row>
    <row r="226" spans="1:12" x14ac:dyDescent="0.35">
      <c r="A226" t="s">
        <v>16</v>
      </c>
      <c r="B226" t="s">
        <v>404</v>
      </c>
      <c r="C226" t="s">
        <v>405</v>
      </c>
      <c r="D226" t="s">
        <v>396</v>
      </c>
      <c r="F226">
        <v>410.92346199999997</v>
      </c>
      <c r="G226">
        <v>566.26849400000003</v>
      </c>
      <c r="H226">
        <v>769.66381799999999</v>
      </c>
      <c r="I226">
        <v>1029.597534</v>
      </c>
      <c r="J226">
        <v>1354.3526609999999</v>
      </c>
      <c r="K226">
        <v>1764.579956</v>
      </c>
      <c r="L226" s="1">
        <v>6.3E-2</v>
      </c>
    </row>
    <row r="227" spans="1:12" x14ac:dyDescent="0.35">
      <c r="A227" t="s">
        <v>348</v>
      </c>
      <c r="B227" t="s">
        <v>406</v>
      </c>
      <c r="D227" t="s">
        <v>396</v>
      </c>
    </row>
    <row r="228" spans="1:12" x14ac:dyDescent="0.35">
      <c r="A228" t="s">
        <v>13</v>
      </c>
      <c r="B228" t="s">
        <v>407</v>
      </c>
      <c r="C228" t="s">
        <v>408</v>
      </c>
      <c r="D228" t="s">
        <v>396</v>
      </c>
      <c r="F228">
        <v>0.70472900000000005</v>
      </c>
      <c r="G228">
        <v>0.96025000000000005</v>
      </c>
      <c r="H228">
        <v>1.12683</v>
      </c>
      <c r="I228">
        <v>1.1354500000000001</v>
      </c>
      <c r="J228">
        <v>1.170447</v>
      </c>
      <c r="K228">
        <v>1.1918690000000001</v>
      </c>
      <c r="L228" s="1">
        <v>2.7E-2</v>
      </c>
    </row>
    <row r="229" spans="1:12" x14ac:dyDescent="0.35">
      <c r="A229" t="s">
        <v>16</v>
      </c>
      <c r="B229" t="s">
        <v>409</v>
      </c>
      <c r="C229" t="s">
        <v>410</v>
      </c>
      <c r="D229" t="s">
        <v>396</v>
      </c>
      <c r="F229">
        <v>0.246532</v>
      </c>
      <c r="G229">
        <v>0.24174799999999999</v>
      </c>
      <c r="H229">
        <v>0.239842</v>
      </c>
      <c r="I229">
        <v>0.24162600000000001</v>
      </c>
      <c r="J229">
        <v>0.25009599999999998</v>
      </c>
      <c r="K229">
        <v>0.25979999999999998</v>
      </c>
      <c r="L229" s="1">
        <v>8.0000000000000002E-3</v>
      </c>
    </row>
    <row r="230" spans="1:12" x14ac:dyDescent="0.35">
      <c r="A230" t="s">
        <v>67</v>
      </c>
      <c r="B230" t="s">
        <v>411</v>
      </c>
      <c r="D230" t="s">
        <v>396</v>
      </c>
    </row>
    <row r="231" spans="1:12" x14ac:dyDescent="0.35">
      <c r="A231" t="s">
        <v>13</v>
      </c>
      <c r="B231" t="s">
        <v>412</v>
      </c>
      <c r="C231" t="s">
        <v>413</v>
      </c>
      <c r="D231" t="s">
        <v>396</v>
      </c>
      <c r="F231">
        <v>435.13119499999999</v>
      </c>
      <c r="G231">
        <v>635.96936000000005</v>
      </c>
      <c r="H231">
        <v>884.14917000000003</v>
      </c>
      <c r="I231">
        <v>1133.606567</v>
      </c>
      <c r="J231">
        <v>1484.71875</v>
      </c>
      <c r="K231">
        <v>1891.4700929999999</v>
      </c>
      <c r="L231" s="1">
        <v>6.5000000000000002E-2</v>
      </c>
    </row>
    <row r="232" spans="1:12" x14ac:dyDescent="0.35">
      <c r="A232" t="s">
        <v>16</v>
      </c>
      <c r="B232" t="s">
        <v>414</v>
      </c>
      <c r="C232" t="s">
        <v>415</v>
      </c>
      <c r="D232" t="s">
        <v>396</v>
      </c>
      <c r="F232">
        <v>411.169983</v>
      </c>
      <c r="G232">
        <v>566.51025400000003</v>
      </c>
      <c r="H232">
        <v>769.90380900000002</v>
      </c>
      <c r="I232">
        <v>1029.8424070000001</v>
      </c>
      <c r="J232">
        <v>1354.619995</v>
      </c>
      <c r="K232">
        <v>1764.87085</v>
      </c>
      <c r="L232" s="1">
        <v>6.3E-2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5"/>
  <sheetViews>
    <sheetView topLeftCell="A157" workbookViewId="0">
      <selection activeCell="N8" sqref="N8"/>
    </sheetView>
  </sheetViews>
  <sheetFormatPr defaultRowHeight="14.5" x14ac:dyDescent="0.35"/>
  <cols>
    <col min="1" max="1" width="48.81640625" customWidth="1"/>
    <col min="2" max="2" width="80.453125" customWidth="1"/>
    <col min="3" max="3" width="65.81640625" customWidth="1"/>
  </cols>
  <sheetData>
    <row r="1" spans="1:12" x14ac:dyDescent="0.35">
      <c r="A1" t="s">
        <v>418</v>
      </c>
    </row>
    <row r="2" spans="1:12" x14ac:dyDescent="0.35">
      <c r="A2" t="s">
        <v>419</v>
      </c>
    </row>
    <row r="3" spans="1:12" x14ac:dyDescent="0.35">
      <c r="A3" t="s">
        <v>420</v>
      </c>
    </row>
    <row r="4" spans="1:12" x14ac:dyDescent="0.35">
      <c r="A4" t="s">
        <v>3</v>
      </c>
    </row>
    <row r="5" spans="1:12" x14ac:dyDescent="0.35">
      <c r="B5" t="s">
        <v>4</v>
      </c>
      <c r="C5" t="s">
        <v>5</v>
      </c>
      <c r="D5" t="s">
        <v>6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  <c r="L5" t="s">
        <v>7</v>
      </c>
    </row>
    <row r="6" spans="1:12" x14ac:dyDescent="0.35">
      <c r="A6" t="s">
        <v>421</v>
      </c>
    </row>
    <row r="7" spans="1:12" x14ac:dyDescent="0.35">
      <c r="A7" t="s">
        <v>422</v>
      </c>
    </row>
    <row r="8" spans="1:12" x14ac:dyDescent="0.35">
      <c r="A8" t="s">
        <v>423</v>
      </c>
      <c r="B8" t="s">
        <v>424</v>
      </c>
      <c r="D8" t="s">
        <v>425</v>
      </c>
    </row>
    <row r="9" spans="1:12" x14ac:dyDescent="0.35">
      <c r="A9" t="s">
        <v>13</v>
      </c>
      <c r="B9" t="s">
        <v>426</v>
      </c>
      <c r="C9" t="s">
        <v>427</v>
      </c>
      <c r="D9" t="s">
        <v>425</v>
      </c>
      <c r="F9">
        <v>0.62755099999999997</v>
      </c>
      <c r="G9">
        <v>0.63337600000000005</v>
      </c>
      <c r="H9">
        <v>0.62486900000000001</v>
      </c>
      <c r="I9">
        <v>0.60988900000000001</v>
      </c>
      <c r="J9">
        <v>0.59561600000000003</v>
      </c>
      <c r="K9">
        <v>0.58316900000000005</v>
      </c>
      <c r="L9" s="1">
        <v>-4.0000000000000001E-3</v>
      </c>
    </row>
    <row r="10" spans="1:12" x14ac:dyDescent="0.35">
      <c r="A10" t="s">
        <v>16</v>
      </c>
      <c r="B10" t="s">
        <v>428</v>
      </c>
      <c r="C10" t="s">
        <v>429</v>
      </c>
      <c r="D10" t="s">
        <v>425</v>
      </c>
      <c r="F10">
        <v>0.62759399999999999</v>
      </c>
      <c r="G10">
        <v>0.62651999999999997</v>
      </c>
      <c r="H10">
        <v>0.61897400000000002</v>
      </c>
      <c r="I10">
        <v>0.60380299999999998</v>
      </c>
      <c r="J10">
        <v>0.59123999999999999</v>
      </c>
      <c r="K10">
        <v>0.58024200000000004</v>
      </c>
      <c r="L10" s="1">
        <v>-4.0000000000000001E-3</v>
      </c>
    </row>
    <row r="11" spans="1:12" x14ac:dyDescent="0.35">
      <c r="A11" t="s">
        <v>430</v>
      </c>
      <c r="B11" t="s">
        <v>431</v>
      </c>
      <c r="D11" t="s">
        <v>425</v>
      </c>
    </row>
    <row r="12" spans="1:12" x14ac:dyDescent="0.35">
      <c r="A12" t="s">
        <v>13</v>
      </c>
      <c r="B12" t="s">
        <v>432</v>
      </c>
      <c r="C12" t="s">
        <v>427</v>
      </c>
      <c r="D12" t="s">
        <v>425</v>
      </c>
      <c r="F12">
        <v>1.013541</v>
      </c>
      <c r="G12">
        <v>1.049982</v>
      </c>
      <c r="H12">
        <v>1.0612349999999999</v>
      </c>
      <c r="I12">
        <v>1.0607390000000001</v>
      </c>
      <c r="J12">
        <v>1.0641149999999999</v>
      </c>
      <c r="K12">
        <v>1.0724549999999999</v>
      </c>
      <c r="L12" s="1">
        <v>2E-3</v>
      </c>
    </row>
    <row r="13" spans="1:12" x14ac:dyDescent="0.35">
      <c r="A13" t="s">
        <v>16</v>
      </c>
      <c r="B13" t="s">
        <v>433</v>
      </c>
      <c r="C13" t="s">
        <v>429</v>
      </c>
      <c r="D13" t="s">
        <v>425</v>
      </c>
      <c r="F13">
        <v>1.0141</v>
      </c>
      <c r="G13">
        <v>1.0390140000000001</v>
      </c>
      <c r="H13">
        <v>1.0517339999999999</v>
      </c>
      <c r="I13">
        <v>1.0526979999999999</v>
      </c>
      <c r="J13">
        <v>1.0589390000000001</v>
      </c>
      <c r="K13">
        <v>1.0676270000000001</v>
      </c>
      <c r="L13" s="1">
        <v>2E-3</v>
      </c>
    </row>
    <row r="14" spans="1:12" x14ac:dyDescent="0.35">
      <c r="A14" t="s">
        <v>434</v>
      </c>
      <c r="B14" t="s">
        <v>435</v>
      </c>
      <c r="D14" t="s">
        <v>425</v>
      </c>
    </row>
    <row r="15" spans="1:12" x14ac:dyDescent="0.35">
      <c r="A15" t="s">
        <v>13</v>
      </c>
      <c r="B15" t="s">
        <v>436</v>
      </c>
      <c r="C15" t="s">
        <v>427</v>
      </c>
      <c r="D15" t="s">
        <v>425</v>
      </c>
      <c r="F15">
        <v>0.37853599999999998</v>
      </c>
      <c r="G15">
        <v>0.386818</v>
      </c>
      <c r="H15">
        <v>0.39105499999999999</v>
      </c>
      <c r="I15">
        <v>0.389324</v>
      </c>
      <c r="J15">
        <v>0.38869799999999999</v>
      </c>
      <c r="K15">
        <v>0.38897500000000002</v>
      </c>
      <c r="L15" s="1">
        <v>1E-3</v>
      </c>
    </row>
    <row r="16" spans="1:12" x14ac:dyDescent="0.35">
      <c r="A16" t="s">
        <v>16</v>
      </c>
      <c r="B16" t="s">
        <v>437</v>
      </c>
      <c r="C16" t="s">
        <v>429</v>
      </c>
      <c r="D16" t="s">
        <v>425</v>
      </c>
      <c r="F16">
        <v>0.37841000000000002</v>
      </c>
      <c r="G16">
        <v>0.38420900000000002</v>
      </c>
      <c r="H16">
        <v>0.38851200000000002</v>
      </c>
      <c r="I16">
        <v>0.38680700000000001</v>
      </c>
      <c r="J16">
        <v>0.386822</v>
      </c>
      <c r="K16">
        <v>0.38789200000000001</v>
      </c>
      <c r="L16" s="1">
        <v>1E-3</v>
      </c>
    </row>
    <row r="17" spans="1:12" x14ac:dyDescent="0.35">
      <c r="A17" t="s">
        <v>438</v>
      </c>
      <c r="B17" t="s">
        <v>439</v>
      </c>
      <c r="D17" t="s">
        <v>425</v>
      </c>
    </row>
    <row r="18" spans="1:12" x14ac:dyDescent="0.35">
      <c r="A18" t="s">
        <v>13</v>
      </c>
      <c r="B18" t="s">
        <v>440</v>
      </c>
      <c r="C18" t="s">
        <v>427</v>
      </c>
      <c r="D18" t="s">
        <v>425</v>
      </c>
      <c r="F18">
        <v>0.56562699999999999</v>
      </c>
      <c r="G18">
        <v>0.58585299999999996</v>
      </c>
      <c r="H18">
        <v>0.59339799999999998</v>
      </c>
      <c r="I18">
        <v>0.59289000000000003</v>
      </c>
      <c r="J18">
        <v>0.59340599999999999</v>
      </c>
      <c r="K18">
        <v>0.59501099999999996</v>
      </c>
      <c r="L18" s="1">
        <v>2E-3</v>
      </c>
    </row>
    <row r="19" spans="1:12" x14ac:dyDescent="0.35">
      <c r="A19" t="s">
        <v>16</v>
      </c>
      <c r="B19" t="s">
        <v>441</v>
      </c>
      <c r="C19" t="s">
        <v>429</v>
      </c>
      <c r="D19" t="s">
        <v>425</v>
      </c>
      <c r="F19">
        <v>0.565832</v>
      </c>
      <c r="G19">
        <v>0.57925899999999997</v>
      </c>
      <c r="H19">
        <v>0.58790200000000004</v>
      </c>
      <c r="I19">
        <v>0.58716000000000002</v>
      </c>
      <c r="J19">
        <v>0.58927200000000002</v>
      </c>
      <c r="K19">
        <v>0.59267199999999998</v>
      </c>
      <c r="L19" s="1">
        <v>2E-3</v>
      </c>
    </row>
    <row r="20" spans="1:12" x14ac:dyDescent="0.35">
      <c r="A20" t="s">
        <v>442</v>
      </c>
      <c r="B20" t="s">
        <v>443</v>
      </c>
      <c r="D20" t="s">
        <v>425</v>
      </c>
    </row>
    <row r="21" spans="1:12" x14ac:dyDescent="0.35">
      <c r="A21" t="s">
        <v>13</v>
      </c>
      <c r="B21" t="s">
        <v>444</v>
      </c>
      <c r="C21" t="s">
        <v>427</v>
      </c>
      <c r="D21" t="s">
        <v>425</v>
      </c>
      <c r="F21">
        <v>0.53863499999999997</v>
      </c>
      <c r="G21">
        <v>0.56936299999999995</v>
      </c>
      <c r="H21">
        <v>0.58446500000000001</v>
      </c>
      <c r="I21">
        <v>0.59392699999999998</v>
      </c>
      <c r="J21">
        <v>0.60584499999999997</v>
      </c>
      <c r="K21">
        <v>0.62136400000000003</v>
      </c>
      <c r="L21" s="1">
        <v>5.0000000000000001E-3</v>
      </c>
    </row>
    <row r="22" spans="1:12" x14ac:dyDescent="0.35">
      <c r="A22" t="s">
        <v>16</v>
      </c>
      <c r="B22" t="s">
        <v>445</v>
      </c>
      <c r="C22" t="s">
        <v>429</v>
      </c>
      <c r="D22" t="s">
        <v>425</v>
      </c>
      <c r="F22">
        <v>0.53902799999999995</v>
      </c>
      <c r="G22">
        <v>0.56245599999999996</v>
      </c>
      <c r="H22">
        <v>0.57817700000000005</v>
      </c>
      <c r="I22">
        <v>0.587646</v>
      </c>
      <c r="J22">
        <v>0.60135899999999998</v>
      </c>
      <c r="K22">
        <v>0.61821300000000001</v>
      </c>
      <c r="L22" s="1">
        <v>5.0000000000000001E-3</v>
      </c>
    </row>
    <row r="23" spans="1:12" x14ac:dyDescent="0.35">
      <c r="A23" t="s">
        <v>446</v>
      </c>
      <c r="B23" t="s">
        <v>447</v>
      </c>
      <c r="D23" t="s">
        <v>425</v>
      </c>
    </row>
    <row r="24" spans="1:12" x14ac:dyDescent="0.35">
      <c r="A24" t="s">
        <v>13</v>
      </c>
      <c r="B24" t="s">
        <v>448</v>
      </c>
      <c r="C24" t="s">
        <v>427</v>
      </c>
      <c r="D24" t="s">
        <v>425</v>
      </c>
      <c r="F24">
        <v>0.60480699999999998</v>
      </c>
      <c r="G24">
        <v>0.63844000000000001</v>
      </c>
      <c r="H24">
        <v>0.661524</v>
      </c>
      <c r="I24">
        <v>0.67733299999999996</v>
      </c>
      <c r="J24">
        <v>0.69199600000000006</v>
      </c>
      <c r="K24">
        <v>0.70608700000000002</v>
      </c>
      <c r="L24" s="1">
        <v>6.0000000000000001E-3</v>
      </c>
    </row>
    <row r="25" spans="1:12" x14ac:dyDescent="0.35">
      <c r="A25" t="s">
        <v>16</v>
      </c>
      <c r="B25" t="s">
        <v>449</v>
      </c>
      <c r="C25" t="s">
        <v>429</v>
      </c>
      <c r="D25" t="s">
        <v>425</v>
      </c>
      <c r="F25">
        <v>0.60536800000000002</v>
      </c>
      <c r="G25">
        <v>0.63264500000000001</v>
      </c>
      <c r="H25">
        <v>0.65607800000000005</v>
      </c>
      <c r="I25">
        <v>0.67181199999999996</v>
      </c>
      <c r="J25">
        <v>0.68801299999999999</v>
      </c>
      <c r="K25">
        <v>0.70389199999999996</v>
      </c>
      <c r="L25" s="1">
        <v>6.0000000000000001E-3</v>
      </c>
    </row>
    <row r="26" spans="1:12" x14ac:dyDescent="0.35">
      <c r="A26" t="s">
        <v>450</v>
      </c>
      <c r="B26" t="s">
        <v>451</v>
      </c>
      <c r="D26" t="s">
        <v>425</v>
      </c>
    </row>
    <row r="27" spans="1:12" x14ac:dyDescent="0.35">
      <c r="A27" t="s">
        <v>13</v>
      </c>
      <c r="B27" t="s">
        <v>452</v>
      </c>
      <c r="C27" t="s">
        <v>427</v>
      </c>
      <c r="D27" t="s">
        <v>425</v>
      </c>
      <c r="F27">
        <v>0.89931099999999997</v>
      </c>
      <c r="G27">
        <v>0.92852100000000004</v>
      </c>
      <c r="H27">
        <v>0.94411199999999995</v>
      </c>
      <c r="I27">
        <v>0.95876300000000003</v>
      </c>
      <c r="J27">
        <v>0.98793299999999995</v>
      </c>
      <c r="K27">
        <v>1.0397650000000001</v>
      </c>
      <c r="L27" s="1">
        <v>5.0000000000000001E-3</v>
      </c>
    </row>
    <row r="28" spans="1:12" x14ac:dyDescent="0.35">
      <c r="A28" t="s">
        <v>16</v>
      </c>
      <c r="B28" t="s">
        <v>453</v>
      </c>
      <c r="C28" t="s">
        <v>429</v>
      </c>
      <c r="D28" t="s">
        <v>425</v>
      </c>
      <c r="F28">
        <v>0.89946099999999996</v>
      </c>
      <c r="G28">
        <v>0.91966700000000001</v>
      </c>
      <c r="H28">
        <v>0.93513900000000005</v>
      </c>
      <c r="I28">
        <v>0.95107900000000001</v>
      </c>
      <c r="J28">
        <v>0.982545</v>
      </c>
      <c r="K28">
        <v>1.0350600000000001</v>
      </c>
      <c r="L28" s="1">
        <v>5.0000000000000001E-3</v>
      </c>
    </row>
    <row r="29" spans="1:12" x14ac:dyDescent="0.35">
      <c r="A29" t="s">
        <v>454</v>
      </c>
      <c r="B29" t="s">
        <v>455</v>
      </c>
      <c r="D29" t="s">
        <v>425</v>
      </c>
    </row>
    <row r="30" spans="1:12" x14ac:dyDescent="0.35">
      <c r="A30" t="s">
        <v>13</v>
      </c>
      <c r="B30" t="s">
        <v>456</v>
      </c>
      <c r="C30" t="s">
        <v>427</v>
      </c>
      <c r="D30" t="s">
        <v>425</v>
      </c>
      <c r="F30">
        <v>0.61328400000000005</v>
      </c>
      <c r="G30">
        <v>0.62797000000000003</v>
      </c>
      <c r="H30">
        <v>0.63095199999999996</v>
      </c>
      <c r="I30">
        <v>0.62801300000000004</v>
      </c>
      <c r="J30">
        <v>0.62693399999999999</v>
      </c>
      <c r="K30">
        <v>0.62860899999999997</v>
      </c>
      <c r="L30" s="1">
        <v>0</v>
      </c>
    </row>
    <row r="31" spans="1:12" x14ac:dyDescent="0.35">
      <c r="A31" t="s">
        <v>16</v>
      </c>
      <c r="B31" t="s">
        <v>457</v>
      </c>
      <c r="C31" t="s">
        <v>429</v>
      </c>
      <c r="D31" t="s">
        <v>425</v>
      </c>
      <c r="F31">
        <v>0.61310399999999998</v>
      </c>
      <c r="G31">
        <v>0.62181799999999998</v>
      </c>
      <c r="H31">
        <v>0.62556599999999996</v>
      </c>
      <c r="I31">
        <v>0.62320900000000001</v>
      </c>
      <c r="J31">
        <v>0.62392199999999998</v>
      </c>
      <c r="K31">
        <v>0.62638099999999997</v>
      </c>
      <c r="L31" s="1">
        <v>0</v>
      </c>
    </row>
    <row r="32" spans="1:12" x14ac:dyDescent="0.35">
      <c r="A32" t="s">
        <v>458</v>
      </c>
      <c r="B32" t="s">
        <v>459</v>
      </c>
      <c r="D32" t="s">
        <v>425</v>
      </c>
    </row>
    <row r="33" spans="1:12" x14ac:dyDescent="0.35">
      <c r="A33" t="s">
        <v>13</v>
      </c>
      <c r="B33" t="s">
        <v>460</v>
      </c>
      <c r="C33" t="s">
        <v>427</v>
      </c>
      <c r="D33" t="s">
        <v>425</v>
      </c>
      <c r="F33">
        <v>1.392811</v>
      </c>
      <c r="G33">
        <v>1.425929</v>
      </c>
      <c r="H33">
        <v>1.4264209999999999</v>
      </c>
      <c r="I33">
        <v>1.408803</v>
      </c>
      <c r="J33">
        <v>1.3957740000000001</v>
      </c>
      <c r="K33">
        <v>1.3861410000000001</v>
      </c>
      <c r="L33" s="1">
        <v>-1E-3</v>
      </c>
    </row>
    <row r="34" spans="1:12" x14ac:dyDescent="0.35">
      <c r="A34" t="s">
        <v>16</v>
      </c>
      <c r="B34" t="s">
        <v>461</v>
      </c>
      <c r="C34" t="s">
        <v>429</v>
      </c>
      <c r="D34" t="s">
        <v>425</v>
      </c>
      <c r="F34">
        <v>1.3924920000000001</v>
      </c>
      <c r="G34">
        <v>1.410906</v>
      </c>
      <c r="H34">
        <v>1.4126609999999999</v>
      </c>
      <c r="I34">
        <v>1.3959859999999999</v>
      </c>
      <c r="J34">
        <v>1.386514</v>
      </c>
      <c r="K34">
        <v>1.3803920000000001</v>
      </c>
      <c r="L34" s="1">
        <v>-1E-3</v>
      </c>
    </row>
    <row r="35" spans="1:12" x14ac:dyDescent="0.35">
      <c r="A35" t="s">
        <v>462</v>
      </c>
      <c r="B35" t="s">
        <v>463</v>
      </c>
      <c r="D35" t="s">
        <v>425</v>
      </c>
    </row>
    <row r="36" spans="1:12" x14ac:dyDescent="0.35">
      <c r="A36" t="s">
        <v>13</v>
      </c>
      <c r="B36" t="s">
        <v>464</v>
      </c>
      <c r="C36" t="s">
        <v>427</v>
      </c>
      <c r="D36" t="s">
        <v>425</v>
      </c>
      <c r="F36">
        <v>0.46308899999999997</v>
      </c>
      <c r="G36">
        <v>0.49791200000000002</v>
      </c>
      <c r="H36">
        <v>0.525204</v>
      </c>
      <c r="I36">
        <v>0.546601</v>
      </c>
      <c r="J36">
        <v>0.56948699999999997</v>
      </c>
      <c r="K36">
        <v>0.59386099999999997</v>
      </c>
      <c r="L36" s="1">
        <v>0.01</v>
      </c>
    </row>
    <row r="37" spans="1:12" x14ac:dyDescent="0.35">
      <c r="A37" t="s">
        <v>16</v>
      </c>
      <c r="B37" t="s">
        <v>465</v>
      </c>
      <c r="C37" t="s">
        <v>429</v>
      </c>
      <c r="D37" t="s">
        <v>425</v>
      </c>
      <c r="F37">
        <v>0.46319300000000002</v>
      </c>
      <c r="G37">
        <v>0.493724</v>
      </c>
      <c r="H37">
        <v>0.52166800000000002</v>
      </c>
      <c r="I37">
        <v>0.54349800000000004</v>
      </c>
      <c r="J37">
        <v>0.567693</v>
      </c>
      <c r="K37">
        <v>0.59260500000000005</v>
      </c>
      <c r="L37" s="1">
        <v>0.01</v>
      </c>
    </row>
    <row r="38" spans="1:12" x14ac:dyDescent="0.35">
      <c r="A38" t="s">
        <v>466</v>
      </c>
      <c r="B38" t="s">
        <v>467</v>
      </c>
      <c r="D38" t="s">
        <v>425</v>
      </c>
    </row>
    <row r="39" spans="1:12" x14ac:dyDescent="0.35">
      <c r="A39" t="s">
        <v>13</v>
      </c>
      <c r="B39" t="s">
        <v>468</v>
      </c>
      <c r="C39" t="s">
        <v>427</v>
      </c>
      <c r="D39" t="s">
        <v>425</v>
      </c>
      <c r="F39">
        <v>0.40204699999999999</v>
      </c>
      <c r="G39">
        <v>0.423651</v>
      </c>
      <c r="H39">
        <v>0.43494699999999997</v>
      </c>
      <c r="I39">
        <v>0.441081</v>
      </c>
      <c r="J39">
        <v>0.44800400000000001</v>
      </c>
      <c r="K39">
        <v>0.45720300000000003</v>
      </c>
      <c r="L39" s="1">
        <v>4.0000000000000001E-3</v>
      </c>
    </row>
    <row r="40" spans="1:12" x14ac:dyDescent="0.35">
      <c r="A40" t="s">
        <v>16</v>
      </c>
      <c r="B40" t="s">
        <v>469</v>
      </c>
      <c r="C40" t="s">
        <v>429</v>
      </c>
      <c r="D40" t="s">
        <v>425</v>
      </c>
      <c r="F40">
        <v>0.40223100000000001</v>
      </c>
      <c r="G40">
        <v>0.420597</v>
      </c>
      <c r="H40">
        <v>0.432118</v>
      </c>
      <c r="I40">
        <v>0.43842300000000001</v>
      </c>
      <c r="J40">
        <v>0.44629799999999997</v>
      </c>
      <c r="K40">
        <v>0.455729</v>
      </c>
      <c r="L40" s="1">
        <v>4.0000000000000001E-3</v>
      </c>
    </row>
    <row r="41" spans="1:12" x14ac:dyDescent="0.35">
      <c r="A41" t="s">
        <v>67</v>
      </c>
      <c r="B41" t="s">
        <v>470</v>
      </c>
      <c r="D41" t="s">
        <v>425</v>
      </c>
    </row>
    <row r="42" spans="1:12" x14ac:dyDescent="0.35">
      <c r="A42" t="s">
        <v>13</v>
      </c>
      <c r="B42" t="s">
        <v>471</v>
      </c>
      <c r="C42" t="s">
        <v>427</v>
      </c>
      <c r="D42" t="s">
        <v>425</v>
      </c>
      <c r="F42">
        <v>7.4992380000000001</v>
      </c>
      <c r="G42">
        <v>7.7678140000000004</v>
      </c>
      <c r="H42">
        <v>7.8781809999999997</v>
      </c>
      <c r="I42">
        <v>7.907362</v>
      </c>
      <c r="J42">
        <v>7.9678100000000001</v>
      </c>
      <c r="K42">
        <v>8.0726399999999998</v>
      </c>
      <c r="L42" s="1">
        <v>2E-3</v>
      </c>
    </row>
    <row r="43" spans="1:12" x14ac:dyDescent="0.35">
      <c r="A43" t="s">
        <v>16</v>
      </c>
      <c r="B43" t="s">
        <v>472</v>
      </c>
      <c r="C43" t="s">
        <v>429</v>
      </c>
      <c r="D43" t="s">
        <v>425</v>
      </c>
      <c r="F43">
        <v>7.500813</v>
      </c>
      <c r="G43">
        <v>7.6908149999999997</v>
      </c>
      <c r="H43">
        <v>7.8085290000000001</v>
      </c>
      <c r="I43">
        <v>7.8421200000000004</v>
      </c>
      <c r="J43">
        <v>7.9226159999999997</v>
      </c>
      <c r="K43">
        <v>8.0407060000000001</v>
      </c>
      <c r="L43" s="1">
        <v>2E-3</v>
      </c>
    </row>
    <row r="44" spans="1:12" x14ac:dyDescent="0.35">
      <c r="A44" t="s">
        <v>473</v>
      </c>
    </row>
    <row r="45" spans="1:12" x14ac:dyDescent="0.35">
      <c r="A45" t="s">
        <v>474</v>
      </c>
    </row>
    <row r="46" spans="1:12" x14ac:dyDescent="0.35">
      <c r="A46" t="s">
        <v>423</v>
      </c>
      <c r="B46" t="s">
        <v>475</v>
      </c>
      <c r="D46" t="s">
        <v>476</v>
      </c>
    </row>
    <row r="47" spans="1:12" x14ac:dyDescent="0.35">
      <c r="A47" t="s">
        <v>13</v>
      </c>
      <c r="B47" t="s">
        <v>477</v>
      </c>
      <c r="C47" t="s">
        <v>478</v>
      </c>
      <c r="D47" t="s">
        <v>476</v>
      </c>
      <c r="F47">
        <v>10.57352</v>
      </c>
      <c r="G47">
        <v>10.941223000000001</v>
      </c>
      <c r="H47">
        <v>11.332419</v>
      </c>
      <c r="I47">
        <v>11.538271999999999</v>
      </c>
      <c r="J47">
        <v>11.664806</v>
      </c>
      <c r="K47">
        <v>11.809134999999999</v>
      </c>
      <c r="L47" s="1">
        <v>5.0000000000000001E-3</v>
      </c>
    </row>
    <row r="48" spans="1:12" x14ac:dyDescent="0.35">
      <c r="A48" t="s">
        <v>16</v>
      </c>
      <c r="B48" t="s">
        <v>479</v>
      </c>
      <c r="C48" t="s">
        <v>480</v>
      </c>
      <c r="D48" t="s">
        <v>476</v>
      </c>
      <c r="F48">
        <v>10.57352</v>
      </c>
      <c r="G48">
        <v>10.941223000000001</v>
      </c>
      <c r="H48">
        <v>11.332419</v>
      </c>
      <c r="I48">
        <v>11.538271999999999</v>
      </c>
      <c r="J48">
        <v>11.664806</v>
      </c>
      <c r="K48">
        <v>11.809134999999999</v>
      </c>
      <c r="L48" s="1">
        <v>5.0000000000000001E-3</v>
      </c>
    </row>
    <row r="49" spans="1:12" x14ac:dyDescent="0.35">
      <c r="A49" t="s">
        <v>430</v>
      </c>
      <c r="B49" t="s">
        <v>481</v>
      </c>
      <c r="D49" t="s">
        <v>476</v>
      </c>
    </row>
    <row r="50" spans="1:12" x14ac:dyDescent="0.35">
      <c r="A50" t="s">
        <v>13</v>
      </c>
      <c r="B50" t="s">
        <v>482</v>
      </c>
      <c r="C50" t="s">
        <v>483</v>
      </c>
      <c r="D50" t="s">
        <v>476</v>
      </c>
      <c r="F50">
        <v>13.941533</v>
      </c>
      <c r="G50">
        <v>14.741059999999999</v>
      </c>
      <c r="H50">
        <v>15.606401999999999</v>
      </c>
      <c r="I50">
        <v>16.248940000000001</v>
      </c>
      <c r="J50">
        <v>16.80508</v>
      </c>
      <c r="K50">
        <v>17.411037</v>
      </c>
      <c r="L50" s="1">
        <v>8.9999999999999993E-3</v>
      </c>
    </row>
    <row r="51" spans="1:12" x14ac:dyDescent="0.35">
      <c r="A51" t="s">
        <v>16</v>
      </c>
      <c r="B51" t="s">
        <v>484</v>
      </c>
      <c r="C51" t="s">
        <v>485</v>
      </c>
      <c r="D51" t="s">
        <v>476</v>
      </c>
      <c r="F51">
        <v>13.941533</v>
      </c>
      <c r="G51">
        <v>14.741059999999999</v>
      </c>
      <c r="H51">
        <v>15.606401999999999</v>
      </c>
      <c r="I51">
        <v>16.248940000000001</v>
      </c>
      <c r="J51">
        <v>16.80508</v>
      </c>
      <c r="K51">
        <v>17.411037</v>
      </c>
      <c r="L51" s="1">
        <v>8.9999999999999993E-3</v>
      </c>
    </row>
    <row r="52" spans="1:12" x14ac:dyDescent="0.35">
      <c r="A52" t="s">
        <v>434</v>
      </c>
      <c r="B52" t="s">
        <v>486</v>
      </c>
      <c r="D52" t="s">
        <v>476</v>
      </c>
    </row>
    <row r="53" spans="1:12" x14ac:dyDescent="0.35">
      <c r="A53" t="s">
        <v>13</v>
      </c>
      <c r="B53" t="s">
        <v>487</v>
      </c>
      <c r="C53" t="s">
        <v>488</v>
      </c>
      <c r="D53" t="s">
        <v>476</v>
      </c>
      <c r="F53">
        <v>1.3170390000000001</v>
      </c>
      <c r="G53">
        <v>1.371286</v>
      </c>
      <c r="H53">
        <v>1.4293979999999999</v>
      </c>
      <c r="I53">
        <v>1.465006</v>
      </c>
      <c r="J53">
        <v>1.491223</v>
      </c>
      <c r="K53">
        <v>1.520367</v>
      </c>
      <c r="L53" s="1">
        <v>6.0000000000000001E-3</v>
      </c>
    </row>
    <row r="54" spans="1:12" x14ac:dyDescent="0.35">
      <c r="A54" t="s">
        <v>16</v>
      </c>
      <c r="B54" t="s">
        <v>489</v>
      </c>
      <c r="C54" t="s">
        <v>490</v>
      </c>
      <c r="D54" t="s">
        <v>476</v>
      </c>
      <c r="F54">
        <v>1.3170390000000001</v>
      </c>
      <c r="G54">
        <v>1.371286</v>
      </c>
      <c r="H54">
        <v>1.4293979999999999</v>
      </c>
      <c r="I54">
        <v>1.465006</v>
      </c>
      <c r="J54">
        <v>1.491223</v>
      </c>
      <c r="K54">
        <v>1.520367</v>
      </c>
      <c r="L54" s="1">
        <v>6.0000000000000001E-3</v>
      </c>
    </row>
    <row r="55" spans="1:12" x14ac:dyDescent="0.35">
      <c r="A55" t="s">
        <v>438</v>
      </c>
      <c r="B55" t="s">
        <v>491</v>
      </c>
      <c r="D55" t="s">
        <v>476</v>
      </c>
    </row>
    <row r="56" spans="1:12" x14ac:dyDescent="0.35">
      <c r="A56" t="s">
        <v>13</v>
      </c>
      <c r="B56" t="s">
        <v>492</v>
      </c>
      <c r="C56" t="s">
        <v>493</v>
      </c>
      <c r="D56" t="s">
        <v>476</v>
      </c>
      <c r="F56">
        <v>1.9259869999999999</v>
      </c>
      <c r="G56">
        <v>2.0052120000000002</v>
      </c>
      <c r="H56">
        <v>2.0900759999999998</v>
      </c>
      <c r="I56">
        <v>2.142023</v>
      </c>
      <c r="J56">
        <v>2.1802329999999999</v>
      </c>
      <c r="K56">
        <v>2.2227130000000002</v>
      </c>
      <c r="L56" s="1">
        <v>6.0000000000000001E-3</v>
      </c>
    </row>
    <row r="57" spans="1:12" x14ac:dyDescent="0.35">
      <c r="A57" t="s">
        <v>16</v>
      </c>
      <c r="B57" t="s">
        <v>494</v>
      </c>
      <c r="C57" t="s">
        <v>495</v>
      </c>
      <c r="D57" t="s">
        <v>476</v>
      </c>
      <c r="F57">
        <v>1.9259869999999999</v>
      </c>
      <c r="G57">
        <v>2.0052120000000002</v>
      </c>
      <c r="H57">
        <v>2.0900759999999998</v>
      </c>
      <c r="I57">
        <v>2.142023</v>
      </c>
      <c r="J57">
        <v>2.1802329999999999</v>
      </c>
      <c r="K57">
        <v>2.2227130000000002</v>
      </c>
      <c r="L57" s="1">
        <v>6.0000000000000001E-3</v>
      </c>
    </row>
    <row r="58" spans="1:12" x14ac:dyDescent="0.35">
      <c r="A58" t="s">
        <v>442</v>
      </c>
      <c r="B58" t="s">
        <v>496</v>
      </c>
      <c r="D58" t="s">
        <v>476</v>
      </c>
    </row>
    <row r="59" spans="1:12" x14ac:dyDescent="0.35">
      <c r="A59" t="s">
        <v>13</v>
      </c>
      <c r="B59" t="s">
        <v>497</v>
      </c>
      <c r="C59" t="s">
        <v>498</v>
      </c>
      <c r="D59" t="s">
        <v>476</v>
      </c>
      <c r="F59">
        <v>2.8103699999999998</v>
      </c>
      <c r="G59">
        <v>3.017531</v>
      </c>
      <c r="H59">
        <v>3.2430249999999998</v>
      </c>
      <c r="I59">
        <v>3.4267379999999998</v>
      </c>
      <c r="J59">
        <v>3.5956730000000001</v>
      </c>
      <c r="K59">
        <v>3.778483</v>
      </c>
      <c r="L59" s="1">
        <v>1.2E-2</v>
      </c>
    </row>
    <row r="60" spans="1:12" x14ac:dyDescent="0.35">
      <c r="A60" t="s">
        <v>16</v>
      </c>
      <c r="B60" t="s">
        <v>499</v>
      </c>
      <c r="C60" t="s">
        <v>500</v>
      </c>
      <c r="D60" t="s">
        <v>476</v>
      </c>
      <c r="F60">
        <v>2.8103699999999998</v>
      </c>
      <c r="G60">
        <v>3.017531</v>
      </c>
      <c r="H60">
        <v>3.2430249999999998</v>
      </c>
      <c r="I60">
        <v>3.4267379999999998</v>
      </c>
      <c r="J60">
        <v>3.5956730000000001</v>
      </c>
      <c r="K60">
        <v>3.778483</v>
      </c>
      <c r="L60" s="1">
        <v>1.2E-2</v>
      </c>
    </row>
    <row r="61" spans="1:12" x14ac:dyDescent="0.35">
      <c r="A61" t="s">
        <v>446</v>
      </c>
      <c r="B61" t="s">
        <v>501</v>
      </c>
      <c r="D61" t="s">
        <v>476</v>
      </c>
    </row>
    <row r="62" spans="1:12" x14ac:dyDescent="0.35">
      <c r="A62" t="s">
        <v>13</v>
      </c>
      <c r="B62" t="s">
        <v>502</v>
      </c>
      <c r="C62" t="s">
        <v>503</v>
      </c>
      <c r="D62" t="s">
        <v>476</v>
      </c>
      <c r="F62">
        <v>6.9538039999999999</v>
      </c>
      <c r="G62">
        <v>7.4704259999999998</v>
      </c>
      <c r="H62">
        <v>8.0325249999999997</v>
      </c>
      <c r="I62">
        <v>8.4911659999999998</v>
      </c>
      <c r="J62">
        <v>8.9131199999999993</v>
      </c>
      <c r="K62">
        <v>9.3693679999999997</v>
      </c>
      <c r="L62" s="1">
        <v>1.2E-2</v>
      </c>
    </row>
    <row r="63" spans="1:12" x14ac:dyDescent="0.35">
      <c r="A63" t="s">
        <v>16</v>
      </c>
      <c r="B63" t="s">
        <v>504</v>
      </c>
      <c r="C63" t="s">
        <v>505</v>
      </c>
      <c r="D63" t="s">
        <v>476</v>
      </c>
      <c r="F63">
        <v>6.9538039999999999</v>
      </c>
      <c r="G63">
        <v>7.4704259999999998</v>
      </c>
      <c r="H63">
        <v>8.0325249999999997</v>
      </c>
      <c r="I63">
        <v>8.4911659999999998</v>
      </c>
      <c r="J63">
        <v>8.9131199999999993</v>
      </c>
      <c r="K63">
        <v>9.3693679999999997</v>
      </c>
      <c r="L63" s="1">
        <v>1.2E-2</v>
      </c>
    </row>
    <row r="64" spans="1:12" x14ac:dyDescent="0.35">
      <c r="A64" t="s">
        <v>450</v>
      </c>
      <c r="B64" t="s">
        <v>506</v>
      </c>
      <c r="D64" t="s">
        <v>476</v>
      </c>
    </row>
    <row r="65" spans="1:12" x14ac:dyDescent="0.35">
      <c r="A65" t="s">
        <v>13</v>
      </c>
      <c r="B65" t="s">
        <v>507</v>
      </c>
      <c r="C65" t="s">
        <v>508</v>
      </c>
      <c r="D65" t="s">
        <v>476</v>
      </c>
      <c r="F65">
        <v>9.8109219999999997</v>
      </c>
      <c r="G65">
        <v>10.215735</v>
      </c>
      <c r="H65">
        <v>10.648745</v>
      </c>
      <c r="I65">
        <v>10.913432999999999</v>
      </c>
      <c r="J65">
        <v>11.107449000000001</v>
      </c>
      <c r="K65">
        <v>11.322490999999999</v>
      </c>
      <c r="L65" s="1">
        <v>6.0000000000000001E-3</v>
      </c>
    </row>
    <row r="66" spans="1:12" x14ac:dyDescent="0.35">
      <c r="A66" t="s">
        <v>16</v>
      </c>
      <c r="B66" t="s">
        <v>509</v>
      </c>
      <c r="C66" t="s">
        <v>510</v>
      </c>
      <c r="D66" t="s">
        <v>476</v>
      </c>
      <c r="F66">
        <v>9.8109219999999997</v>
      </c>
      <c r="G66">
        <v>10.215735</v>
      </c>
      <c r="H66">
        <v>10.648745</v>
      </c>
      <c r="I66">
        <v>10.913432999999999</v>
      </c>
      <c r="J66">
        <v>11.107449000000001</v>
      </c>
      <c r="K66">
        <v>11.322490999999999</v>
      </c>
      <c r="L66" s="1">
        <v>6.0000000000000001E-3</v>
      </c>
    </row>
    <row r="67" spans="1:12" x14ac:dyDescent="0.35">
      <c r="A67" t="s">
        <v>454</v>
      </c>
      <c r="B67" t="s">
        <v>511</v>
      </c>
      <c r="D67" t="s">
        <v>476</v>
      </c>
    </row>
    <row r="68" spans="1:12" x14ac:dyDescent="0.35">
      <c r="A68" t="s">
        <v>13</v>
      </c>
      <c r="B68" t="s">
        <v>512</v>
      </c>
      <c r="C68" t="s">
        <v>513</v>
      </c>
      <c r="D68" t="s">
        <v>476</v>
      </c>
      <c r="F68">
        <v>9.3615779999999997</v>
      </c>
      <c r="G68">
        <v>9.803274</v>
      </c>
      <c r="H68">
        <v>10.277281</v>
      </c>
      <c r="I68">
        <v>10.593686</v>
      </c>
      <c r="J68">
        <v>10.845050000000001</v>
      </c>
      <c r="K68">
        <v>11.120239</v>
      </c>
      <c r="L68" s="1">
        <v>7.0000000000000001E-3</v>
      </c>
    </row>
    <row r="69" spans="1:12" x14ac:dyDescent="0.35">
      <c r="A69" t="s">
        <v>16</v>
      </c>
      <c r="B69" t="s">
        <v>514</v>
      </c>
      <c r="C69" t="s">
        <v>515</v>
      </c>
      <c r="D69" t="s">
        <v>476</v>
      </c>
      <c r="F69">
        <v>9.3615779999999997</v>
      </c>
      <c r="G69">
        <v>9.803274</v>
      </c>
      <c r="H69">
        <v>10.277281</v>
      </c>
      <c r="I69">
        <v>10.593686</v>
      </c>
      <c r="J69">
        <v>10.845050000000001</v>
      </c>
      <c r="K69">
        <v>11.120239</v>
      </c>
      <c r="L69" s="1">
        <v>7.0000000000000001E-3</v>
      </c>
    </row>
    <row r="70" spans="1:12" x14ac:dyDescent="0.35">
      <c r="A70" t="s">
        <v>458</v>
      </c>
      <c r="B70" t="s">
        <v>516</v>
      </c>
      <c r="D70" t="s">
        <v>476</v>
      </c>
    </row>
    <row r="71" spans="1:12" x14ac:dyDescent="0.35">
      <c r="A71" t="s">
        <v>13</v>
      </c>
      <c r="B71" t="s">
        <v>517</v>
      </c>
      <c r="C71" t="s">
        <v>518</v>
      </c>
      <c r="D71" t="s">
        <v>476</v>
      </c>
      <c r="F71">
        <v>17.572482999999998</v>
      </c>
      <c r="G71">
        <v>18.405138000000001</v>
      </c>
      <c r="H71">
        <v>19.298210000000001</v>
      </c>
      <c r="I71">
        <v>19.894976</v>
      </c>
      <c r="J71">
        <v>20.36908</v>
      </c>
      <c r="K71">
        <v>20.887339000000001</v>
      </c>
      <c r="L71" s="1">
        <v>7.0000000000000001E-3</v>
      </c>
    </row>
    <row r="72" spans="1:12" x14ac:dyDescent="0.35">
      <c r="A72" t="s">
        <v>16</v>
      </c>
      <c r="B72" t="s">
        <v>519</v>
      </c>
      <c r="C72" t="s">
        <v>520</v>
      </c>
      <c r="D72" t="s">
        <v>476</v>
      </c>
      <c r="F72">
        <v>17.572482999999998</v>
      </c>
      <c r="G72">
        <v>18.405138000000001</v>
      </c>
      <c r="H72">
        <v>19.298210000000001</v>
      </c>
      <c r="I72">
        <v>19.894976</v>
      </c>
      <c r="J72">
        <v>20.36908</v>
      </c>
      <c r="K72">
        <v>20.887339000000001</v>
      </c>
      <c r="L72" s="1">
        <v>7.0000000000000001E-3</v>
      </c>
    </row>
    <row r="73" spans="1:12" x14ac:dyDescent="0.35">
      <c r="A73" t="s">
        <v>462</v>
      </c>
      <c r="B73" t="s">
        <v>521</v>
      </c>
      <c r="D73" t="s">
        <v>476</v>
      </c>
    </row>
    <row r="74" spans="1:12" x14ac:dyDescent="0.35">
      <c r="A74" t="s">
        <v>13</v>
      </c>
      <c r="B74" t="s">
        <v>522</v>
      </c>
      <c r="C74" t="s">
        <v>523</v>
      </c>
      <c r="D74" t="s">
        <v>476</v>
      </c>
      <c r="F74">
        <v>16.460664999999999</v>
      </c>
      <c r="G74">
        <v>17.940296</v>
      </c>
      <c r="H74">
        <v>19.556597</v>
      </c>
      <c r="I74">
        <v>20.946251</v>
      </c>
      <c r="J74">
        <v>22.264605</v>
      </c>
      <c r="K74">
        <v>23.686375000000002</v>
      </c>
      <c r="L74" s="1">
        <v>1.4999999999999999E-2</v>
      </c>
    </row>
    <row r="75" spans="1:12" x14ac:dyDescent="0.35">
      <c r="A75" t="s">
        <v>16</v>
      </c>
      <c r="B75" t="s">
        <v>524</v>
      </c>
      <c r="C75" t="s">
        <v>525</v>
      </c>
      <c r="D75" t="s">
        <v>476</v>
      </c>
      <c r="F75">
        <v>16.460664999999999</v>
      </c>
      <c r="G75">
        <v>17.940296</v>
      </c>
      <c r="H75">
        <v>19.556597</v>
      </c>
      <c r="I75">
        <v>20.946251</v>
      </c>
      <c r="J75">
        <v>22.264605</v>
      </c>
      <c r="K75">
        <v>23.686375000000002</v>
      </c>
      <c r="L75" s="1">
        <v>1.4999999999999999E-2</v>
      </c>
    </row>
    <row r="76" spans="1:12" x14ac:dyDescent="0.35">
      <c r="A76" t="s">
        <v>466</v>
      </c>
      <c r="B76" t="s">
        <v>526</v>
      </c>
      <c r="D76" t="s">
        <v>476</v>
      </c>
    </row>
    <row r="77" spans="1:12" x14ac:dyDescent="0.35">
      <c r="A77" t="s">
        <v>13</v>
      </c>
      <c r="B77" t="s">
        <v>527</v>
      </c>
      <c r="C77" t="s">
        <v>528</v>
      </c>
      <c r="D77" t="s">
        <v>476</v>
      </c>
      <c r="F77">
        <v>7.7779699999999998</v>
      </c>
      <c r="G77">
        <v>8.3091159999999995</v>
      </c>
      <c r="H77">
        <v>8.8863629999999993</v>
      </c>
      <c r="I77">
        <v>9.3451079999999997</v>
      </c>
      <c r="J77">
        <v>9.7605419999999992</v>
      </c>
      <c r="K77">
        <v>10.210867</v>
      </c>
      <c r="L77" s="1">
        <v>1.0999999999999999E-2</v>
      </c>
    </row>
    <row r="78" spans="1:12" x14ac:dyDescent="0.35">
      <c r="A78" t="s">
        <v>16</v>
      </c>
      <c r="B78" t="s">
        <v>529</v>
      </c>
      <c r="C78" t="s">
        <v>530</v>
      </c>
      <c r="D78" t="s">
        <v>476</v>
      </c>
      <c r="F78">
        <v>7.7779699999999998</v>
      </c>
      <c r="G78">
        <v>8.3091159999999995</v>
      </c>
      <c r="H78">
        <v>8.8863629999999993</v>
      </c>
      <c r="I78">
        <v>9.3451079999999997</v>
      </c>
      <c r="J78">
        <v>9.7605419999999992</v>
      </c>
      <c r="K78">
        <v>10.210867</v>
      </c>
      <c r="L78" s="1">
        <v>1.0999999999999999E-2</v>
      </c>
    </row>
    <row r="79" spans="1:12" x14ac:dyDescent="0.35">
      <c r="A79" t="s">
        <v>67</v>
      </c>
      <c r="B79" t="s">
        <v>531</v>
      </c>
      <c r="D79" t="s">
        <v>476</v>
      </c>
    </row>
    <row r="80" spans="1:12" x14ac:dyDescent="0.35">
      <c r="A80" t="s">
        <v>13</v>
      </c>
      <c r="B80" t="s">
        <v>532</v>
      </c>
      <c r="C80" t="s">
        <v>533</v>
      </c>
      <c r="D80" t="s">
        <v>476</v>
      </c>
      <c r="F80">
        <v>98.505859000000001</v>
      </c>
      <c r="G80">
        <v>104.220291</v>
      </c>
      <c r="H80">
        <v>110.401039</v>
      </c>
      <c r="I80">
        <v>115.0056</v>
      </c>
      <c r="J80">
        <v>118.99685700000001</v>
      </c>
      <c r="K80">
        <v>123.33841700000001</v>
      </c>
      <c r="L80" s="1">
        <v>8.9999999999999993E-3</v>
      </c>
    </row>
    <row r="81" spans="1:12" x14ac:dyDescent="0.35">
      <c r="A81" t="s">
        <v>16</v>
      </c>
      <c r="B81" t="s">
        <v>534</v>
      </c>
      <c r="C81" t="s">
        <v>535</v>
      </c>
      <c r="D81" t="s">
        <v>476</v>
      </c>
      <c r="F81">
        <v>98.505859000000001</v>
      </c>
      <c r="G81">
        <v>104.220291</v>
      </c>
      <c r="H81">
        <v>110.401039</v>
      </c>
      <c r="I81">
        <v>115.0056</v>
      </c>
      <c r="J81">
        <v>118.99685700000001</v>
      </c>
      <c r="K81">
        <v>123.33841700000001</v>
      </c>
      <c r="L81" s="1">
        <v>8.9999999999999993E-3</v>
      </c>
    </row>
    <row r="82" spans="1:12" x14ac:dyDescent="0.35">
      <c r="A82" t="s">
        <v>190</v>
      </c>
    </row>
    <row r="83" spans="1:12" x14ac:dyDescent="0.35">
      <c r="A83" t="s">
        <v>296</v>
      </c>
    </row>
    <row r="84" spans="1:12" x14ac:dyDescent="0.35">
      <c r="A84" t="s">
        <v>536</v>
      </c>
      <c r="B84" t="s">
        <v>537</v>
      </c>
      <c r="D84" t="s">
        <v>538</v>
      </c>
    </row>
    <row r="85" spans="1:12" x14ac:dyDescent="0.35">
      <c r="A85" t="s">
        <v>13</v>
      </c>
      <c r="B85" t="s">
        <v>539</v>
      </c>
      <c r="C85" t="s">
        <v>540</v>
      </c>
      <c r="D85" t="s">
        <v>538</v>
      </c>
      <c r="F85">
        <v>1.5789120000000001</v>
      </c>
      <c r="G85">
        <v>1.5405150000000001</v>
      </c>
      <c r="H85">
        <v>1.5036259999999999</v>
      </c>
      <c r="I85">
        <v>1.47299</v>
      </c>
      <c r="J85">
        <v>1.447101</v>
      </c>
      <c r="K85">
        <v>1.4226030000000001</v>
      </c>
      <c r="L85" s="1">
        <v>-4.0000000000000001E-3</v>
      </c>
    </row>
    <row r="86" spans="1:12" x14ac:dyDescent="0.35">
      <c r="A86" t="s">
        <v>16</v>
      </c>
      <c r="B86" t="s">
        <v>541</v>
      </c>
      <c r="C86" t="s">
        <v>542</v>
      </c>
      <c r="D86" t="s">
        <v>538</v>
      </c>
      <c r="F86">
        <v>1.5744389999999999</v>
      </c>
      <c r="G86">
        <v>1.5336069999999999</v>
      </c>
      <c r="H86">
        <v>1.500964</v>
      </c>
      <c r="I86">
        <v>1.473287</v>
      </c>
      <c r="J86">
        <v>1.4489129999999999</v>
      </c>
      <c r="K86">
        <v>1.4244870000000001</v>
      </c>
      <c r="L86" s="1">
        <v>-4.0000000000000001E-3</v>
      </c>
    </row>
    <row r="87" spans="1:12" x14ac:dyDescent="0.35">
      <c r="A87" t="s">
        <v>113</v>
      </c>
      <c r="B87" t="s">
        <v>543</v>
      </c>
      <c r="D87" t="s">
        <v>538</v>
      </c>
    </row>
    <row r="88" spans="1:12" x14ac:dyDescent="0.35">
      <c r="A88" t="s">
        <v>13</v>
      </c>
      <c r="B88" t="s">
        <v>544</v>
      </c>
      <c r="C88" t="s">
        <v>545</v>
      </c>
      <c r="D88" t="s">
        <v>538</v>
      </c>
      <c r="F88">
        <v>0.79309700000000005</v>
      </c>
      <c r="G88">
        <v>0.79516600000000004</v>
      </c>
      <c r="H88">
        <v>0.79674699999999998</v>
      </c>
      <c r="I88">
        <v>0.79792799999999997</v>
      </c>
      <c r="J88">
        <v>0.79876599999999998</v>
      </c>
      <c r="K88">
        <v>0.79931700000000006</v>
      </c>
      <c r="L88" s="1">
        <v>0</v>
      </c>
    </row>
    <row r="89" spans="1:12" x14ac:dyDescent="0.35">
      <c r="A89" t="s">
        <v>16</v>
      </c>
      <c r="B89" t="s">
        <v>546</v>
      </c>
      <c r="C89" t="s">
        <v>547</v>
      </c>
      <c r="D89" t="s">
        <v>538</v>
      </c>
      <c r="F89">
        <v>0.793215</v>
      </c>
      <c r="G89">
        <v>0.79552100000000003</v>
      </c>
      <c r="H89">
        <v>0.79734400000000005</v>
      </c>
      <c r="I89">
        <v>0.79861199999999999</v>
      </c>
      <c r="J89">
        <v>0.79950600000000005</v>
      </c>
      <c r="K89">
        <v>0.79995799999999995</v>
      </c>
      <c r="L89" s="1">
        <v>0</v>
      </c>
    </row>
    <row r="90" spans="1:12" x14ac:dyDescent="0.35">
      <c r="A90" t="s">
        <v>37</v>
      </c>
      <c r="B90" t="s">
        <v>548</v>
      </c>
      <c r="D90" t="s">
        <v>538</v>
      </c>
    </row>
    <row r="91" spans="1:12" x14ac:dyDescent="0.35">
      <c r="A91" t="s">
        <v>13</v>
      </c>
      <c r="B91" t="s">
        <v>549</v>
      </c>
      <c r="C91" t="s">
        <v>550</v>
      </c>
      <c r="D91" t="s">
        <v>538</v>
      </c>
      <c r="F91">
        <v>0.81323299999999998</v>
      </c>
      <c r="G91">
        <v>0.81565600000000005</v>
      </c>
      <c r="H91">
        <v>0.81796100000000005</v>
      </c>
      <c r="I91">
        <v>0.81994</v>
      </c>
      <c r="J91">
        <v>0.82221100000000003</v>
      </c>
      <c r="K91">
        <v>0.82386800000000004</v>
      </c>
      <c r="L91" s="1">
        <v>1E-3</v>
      </c>
    </row>
    <row r="92" spans="1:12" x14ac:dyDescent="0.35">
      <c r="A92" t="s">
        <v>16</v>
      </c>
      <c r="B92" t="s">
        <v>551</v>
      </c>
      <c r="C92" t="s">
        <v>552</v>
      </c>
      <c r="D92" t="s">
        <v>538</v>
      </c>
      <c r="F92">
        <v>0.81322700000000003</v>
      </c>
      <c r="G92">
        <v>0.81564199999999998</v>
      </c>
      <c r="H92">
        <v>0.81794199999999995</v>
      </c>
      <c r="I92">
        <v>0.81987699999999997</v>
      </c>
      <c r="J92">
        <v>0.82208199999999998</v>
      </c>
      <c r="K92">
        <v>0.82375900000000002</v>
      </c>
      <c r="L92" s="1">
        <v>1E-3</v>
      </c>
    </row>
    <row r="93" spans="1:12" x14ac:dyDescent="0.35">
      <c r="A93" t="s">
        <v>225</v>
      </c>
    </row>
    <row r="94" spans="1:12" x14ac:dyDescent="0.35">
      <c r="A94" t="s">
        <v>536</v>
      </c>
      <c r="B94" t="s">
        <v>553</v>
      </c>
      <c r="D94" t="s">
        <v>538</v>
      </c>
    </row>
    <row r="95" spans="1:12" x14ac:dyDescent="0.35">
      <c r="A95" t="s">
        <v>13</v>
      </c>
      <c r="B95" t="s">
        <v>554</v>
      </c>
      <c r="C95" t="s">
        <v>555</v>
      </c>
      <c r="D95" t="s">
        <v>538</v>
      </c>
      <c r="F95">
        <v>3.7410410000000001</v>
      </c>
      <c r="G95">
        <v>3.8940440000000001</v>
      </c>
      <c r="H95">
        <v>4.0274700000000001</v>
      </c>
      <c r="I95">
        <v>4.1325659999999997</v>
      </c>
      <c r="J95">
        <v>4.2299759999999997</v>
      </c>
      <c r="K95">
        <v>4.3086650000000004</v>
      </c>
      <c r="L95" s="1">
        <v>6.0000000000000001E-3</v>
      </c>
    </row>
    <row r="96" spans="1:12" x14ac:dyDescent="0.35">
      <c r="A96" t="s">
        <v>16</v>
      </c>
      <c r="B96" t="s">
        <v>556</v>
      </c>
      <c r="C96" t="s">
        <v>557</v>
      </c>
      <c r="D96" t="s">
        <v>538</v>
      </c>
      <c r="F96">
        <v>3.7415750000000001</v>
      </c>
      <c r="G96">
        <v>3.899254</v>
      </c>
      <c r="H96">
        <v>4.0403440000000002</v>
      </c>
      <c r="I96">
        <v>4.1479429999999997</v>
      </c>
      <c r="J96">
        <v>4.2437899999999997</v>
      </c>
      <c r="K96">
        <v>4.3220999999999998</v>
      </c>
      <c r="L96" s="1">
        <v>6.0000000000000001E-3</v>
      </c>
    </row>
    <row r="97" spans="1:12" x14ac:dyDescent="0.35">
      <c r="A97" t="s">
        <v>113</v>
      </c>
      <c r="B97" t="s">
        <v>558</v>
      </c>
      <c r="D97" t="s">
        <v>538</v>
      </c>
    </row>
    <row r="98" spans="1:12" x14ac:dyDescent="0.35">
      <c r="A98" t="s">
        <v>13</v>
      </c>
      <c r="B98" t="s">
        <v>559</v>
      </c>
      <c r="C98" t="s">
        <v>560</v>
      </c>
      <c r="D98" t="s">
        <v>538</v>
      </c>
      <c r="F98">
        <v>0.81152199999999997</v>
      </c>
      <c r="G98">
        <v>0.85747200000000001</v>
      </c>
      <c r="H98">
        <v>0.90076999999999996</v>
      </c>
      <c r="I98">
        <v>0.93912899999999999</v>
      </c>
      <c r="J98">
        <v>0.97489499999999996</v>
      </c>
      <c r="K98">
        <v>1.0106379999999999</v>
      </c>
      <c r="L98" s="1">
        <v>8.9999999999999993E-3</v>
      </c>
    </row>
    <row r="99" spans="1:12" x14ac:dyDescent="0.35">
      <c r="A99" t="s">
        <v>16</v>
      </c>
      <c r="B99" t="s">
        <v>561</v>
      </c>
      <c r="C99" t="s">
        <v>562</v>
      </c>
      <c r="D99" t="s">
        <v>538</v>
      </c>
      <c r="F99">
        <v>0.90959800000000002</v>
      </c>
      <c r="G99">
        <v>0.99502299999999999</v>
      </c>
      <c r="H99">
        <v>1.068913</v>
      </c>
      <c r="I99">
        <v>1.1290150000000001</v>
      </c>
      <c r="J99">
        <v>1.1779740000000001</v>
      </c>
      <c r="K99">
        <v>1.217476</v>
      </c>
      <c r="L99" s="1">
        <v>1.2E-2</v>
      </c>
    </row>
    <row r="100" spans="1:12" x14ac:dyDescent="0.35">
      <c r="A100" t="s">
        <v>563</v>
      </c>
    </row>
    <row r="101" spans="1:12" x14ac:dyDescent="0.35">
      <c r="A101" t="s">
        <v>536</v>
      </c>
      <c r="B101" t="s">
        <v>564</v>
      </c>
      <c r="D101" t="s">
        <v>538</v>
      </c>
    </row>
    <row r="102" spans="1:12" x14ac:dyDescent="0.35">
      <c r="A102" t="s">
        <v>13</v>
      </c>
      <c r="B102" t="s">
        <v>565</v>
      </c>
      <c r="C102" t="s">
        <v>566</v>
      </c>
      <c r="D102" t="s">
        <v>538</v>
      </c>
      <c r="F102">
        <v>1.2341569999999999</v>
      </c>
      <c r="G102">
        <v>1.2811859999999999</v>
      </c>
      <c r="H102">
        <v>1.3132410000000001</v>
      </c>
      <c r="I102">
        <v>1.343575</v>
      </c>
      <c r="J102">
        <v>1.3712299999999999</v>
      </c>
      <c r="K102">
        <v>1.396927</v>
      </c>
      <c r="L102" s="1">
        <v>7.0000000000000001E-3</v>
      </c>
    </row>
    <row r="103" spans="1:12" x14ac:dyDescent="0.35">
      <c r="A103" t="s">
        <v>16</v>
      </c>
      <c r="B103" t="s">
        <v>567</v>
      </c>
      <c r="C103" t="s">
        <v>568</v>
      </c>
      <c r="D103" t="s">
        <v>538</v>
      </c>
      <c r="F103">
        <v>1.200094</v>
      </c>
      <c r="G103">
        <v>1.2396050000000001</v>
      </c>
      <c r="H103">
        <v>1.279004</v>
      </c>
      <c r="I103">
        <v>1.3158259999999999</v>
      </c>
      <c r="J103">
        <v>1.349059</v>
      </c>
      <c r="K103">
        <v>1.3785959999999999</v>
      </c>
      <c r="L103" s="1">
        <v>6.0000000000000001E-3</v>
      </c>
    </row>
    <row r="104" spans="1:12" x14ac:dyDescent="0.35">
      <c r="A104" t="s">
        <v>113</v>
      </c>
      <c r="B104" t="s">
        <v>569</v>
      </c>
      <c r="D104" t="s">
        <v>538</v>
      </c>
    </row>
    <row r="105" spans="1:12" x14ac:dyDescent="0.35">
      <c r="A105" t="s">
        <v>13</v>
      </c>
      <c r="B105" t="s">
        <v>570</v>
      </c>
      <c r="C105" t="s">
        <v>571</v>
      </c>
      <c r="D105" t="s">
        <v>538</v>
      </c>
      <c r="F105">
        <v>0.90891</v>
      </c>
      <c r="G105">
        <v>0.92354999999999998</v>
      </c>
      <c r="H105">
        <v>0.93225999999999998</v>
      </c>
      <c r="I105">
        <v>0.93714799999999998</v>
      </c>
      <c r="J105">
        <v>0.94020499999999996</v>
      </c>
      <c r="K105">
        <v>0.94279500000000005</v>
      </c>
      <c r="L105" s="1">
        <v>2E-3</v>
      </c>
    </row>
    <row r="106" spans="1:12" x14ac:dyDescent="0.35">
      <c r="A106" t="s">
        <v>16</v>
      </c>
      <c r="B106" t="s">
        <v>572</v>
      </c>
      <c r="C106" t="s">
        <v>573</v>
      </c>
      <c r="D106" t="s">
        <v>538</v>
      </c>
      <c r="F106">
        <v>0.90876500000000004</v>
      </c>
      <c r="G106">
        <v>0.92348399999999997</v>
      </c>
      <c r="H106">
        <v>0.93223999999999996</v>
      </c>
      <c r="I106">
        <v>0.93849899999999997</v>
      </c>
      <c r="J106">
        <v>0.94250999999999996</v>
      </c>
      <c r="K106">
        <v>0.94486000000000003</v>
      </c>
      <c r="L106" s="1">
        <v>2E-3</v>
      </c>
    </row>
    <row r="107" spans="1:12" x14ac:dyDescent="0.35">
      <c r="A107" t="s">
        <v>37</v>
      </c>
      <c r="B107" t="s">
        <v>574</v>
      </c>
      <c r="D107" t="s">
        <v>538</v>
      </c>
    </row>
    <row r="108" spans="1:12" x14ac:dyDescent="0.35">
      <c r="A108" t="s">
        <v>13</v>
      </c>
      <c r="B108" t="s">
        <v>575</v>
      </c>
      <c r="C108" t="s">
        <v>576</v>
      </c>
      <c r="D108" t="s">
        <v>538</v>
      </c>
      <c r="F108">
        <v>0.81084900000000004</v>
      </c>
      <c r="G108">
        <v>0.81423699999999999</v>
      </c>
      <c r="H108">
        <v>0.81637700000000002</v>
      </c>
      <c r="I108">
        <v>0.81770100000000001</v>
      </c>
      <c r="J108">
        <v>0.81854000000000005</v>
      </c>
      <c r="K108">
        <v>0.81907099999999999</v>
      </c>
      <c r="L108" s="1">
        <v>0</v>
      </c>
    </row>
    <row r="109" spans="1:12" x14ac:dyDescent="0.35">
      <c r="A109" t="s">
        <v>16</v>
      </c>
      <c r="B109" t="s">
        <v>577</v>
      </c>
      <c r="C109" t="s">
        <v>578</v>
      </c>
      <c r="D109" t="s">
        <v>538</v>
      </c>
      <c r="F109">
        <v>0.81084900000000004</v>
      </c>
      <c r="G109">
        <v>0.81424099999999999</v>
      </c>
      <c r="H109">
        <v>0.81637899999999997</v>
      </c>
      <c r="I109">
        <v>0.81769800000000004</v>
      </c>
      <c r="J109">
        <v>0.81852999999999998</v>
      </c>
      <c r="K109">
        <v>0.81906500000000004</v>
      </c>
      <c r="L109" s="1">
        <v>0</v>
      </c>
    </row>
    <row r="110" spans="1:12" x14ac:dyDescent="0.35">
      <c r="A110" t="s">
        <v>579</v>
      </c>
    </row>
    <row r="111" spans="1:12" x14ac:dyDescent="0.35">
      <c r="A111" t="s">
        <v>536</v>
      </c>
      <c r="B111" t="s">
        <v>580</v>
      </c>
      <c r="D111" t="s">
        <v>581</v>
      </c>
    </row>
    <row r="112" spans="1:12" x14ac:dyDescent="0.35">
      <c r="A112" t="s">
        <v>13</v>
      </c>
      <c r="B112" t="s">
        <v>582</v>
      </c>
      <c r="C112" t="s">
        <v>583</v>
      </c>
      <c r="D112" t="s">
        <v>581</v>
      </c>
      <c r="F112">
        <v>0.33723700000000001</v>
      </c>
      <c r="G112">
        <v>0.34053499999999998</v>
      </c>
      <c r="H112">
        <v>0.34448899999999999</v>
      </c>
      <c r="I112">
        <v>0.347501</v>
      </c>
      <c r="J112">
        <v>0.34979500000000002</v>
      </c>
      <c r="K112">
        <v>0.351464</v>
      </c>
      <c r="L112" s="1">
        <v>2E-3</v>
      </c>
    </row>
    <row r="113" spans="1:12" x14ac:dyDescent="0.35">
      <c r="A113" t="s">
        <v>16</v>
      </c>
      <c r="B113" t="s">
        <v>584</v>
      </c>
      <c r="C113" t="s">
        <v>585</v>
      </c>
      <c r="D113" t="s">
        <v>581</v>
      </c>
      <c r="F113">
        <v>0.33723700000000001</v>
      </c>
      <c r="G113">
        <v>0.34053600000000001</v>
      </c>
      <c r="H113">
        <v>0.34449099999999999</v>
      </c>
      <c r="I113">
        <v>0.34750700000000001</v>
      </c>
      <c r="J113">
        <v>0.349802</v>
      </c>
      <c r="K113">
        <v>0.35147099999999998</v>
      </c>
      <c r="L113" s="1">
        <v>2E-3</v>
      </c>
    </row>
    <row r="114" spans="1:12" x14ac:dyDescent="0.35">
      <c r="A114" t="s">
        <v>586</v>
      </c>
    </row>
    <row r="115" spans="1:12" x14ac:dyDescent="0.35">
      <c r="A115" t="s">
        <v>536</v>
      </c>
      <c r="B115" t="s">
        <v>587</v>
      </c>
      <c r="D115" t="s">
        <v>538</v>
      </c>
    </row>
    <row r="116" spans="1:12" x14ac:dyDescent="0.35">
      <c r="A116" t="s">
        <v>13</v>
      </c>
      <c r="B116" t="s">
        <v>588</v>
      </c>
      <c r="C116" t="s">
        <v>589</v>
      </c>
      <c r="D116" t="s">
        <v>538</v>
      </c>
      <c r="F116">
        <v>0.69510700000000003</v>
      </c>
      <c r="G116">
        <v>0.69698700000000002</v>
      </c>
      <c r="H116">
        <v>0.69814699999999996</v>
      </c>
      <c r="I116">
        <v>0.698847</v>
      </c>
      <c r="J116">
        <v>0.69927899999999998</v>
      </c>
      <c r="K116">
        <v>0.69955000000000001</v>
      </c>
      <c r="L116" s="1">
        <v>0</v>
      </c>
    </row>
    <row r="117" spans="1:12" x14ac:dyDescent="0.35">
      <c r="A117" t="s">
        <v>16</v>
      </c>
      <c r="B117" t="s">
        <v>590</v>
      </c>
      <c r="C117" t="s">
        <v>591</v>
      </c>
      <c r="D117" t="s">
        <v>538</v>
      </c>
      <c r="F117">
        <v>0.69510700000000003</v>
      </c>
      <c r="G117">
        <v>0.69698700000000002</v>
      </c>
      <c r="H117">
        <v>0.69814699999999996</v>
      </c>
      <c r="I117">
        <v>0.698847</v>
      </c>
      <c r="J117">
        <v>0.69927899999999998</v>
      </c>
      <c r="K117">
        <v>0.69955000000000001</v>
      </c>
      <c r="L117" s="1">
        <v>0</v>
      </c>
    </row>
    <row r="118" spans="1:12" x14ac:dyDescent="0.35">
      <c r="A118" t="s">
        <v>113</v>
      </c>
      <c r="B118" t="s">
        <v>592</v>
      </c>
      <c r="D118" t="s">
        <v>538</v>
      </c>
    </row>
    <row r="119" spans="1:12" x14ac:dyDescent="0.35">
      <c r="A119" t="s">
        <v>13</v>
      </c>
      <c r="B119" t="s">
        <v>593</v>
      </c>
      <c r="C119" t="s">
        <v>594</v>
      </c>
      <c r="D119" t="s">
        <v>538</v>
      </c>
      <c r="F119">
        <v>0.31666699999999998</v>
      </c>
      <c r="G119">
        <v>0.31666699999999998</v>
      </c>
      <c r="H119">
        <v>0.31666699999999998</v>
      </c>
      <c r="I119">
        <v>0.31666699999999998</v>
      </c>
      <c r="J119">
        <v>0.31666699999999998</v>
      </c>
      <c r="K119">
        <v>0.31666699999999998</v>
      </c>
      <c r="L119" s="1">
        <v>0</v>
      </c>
    </row>
    <row r="120" spans="1:12" x14ac:dyDescent="0.35">
      <c r="A120" t="s">
        <v>16</v>
      </c>
      <c r="B120" t="s">
        <v>595</v>
      </c>
      <c r="C120" t="s">
        <v>596</v>
      </c>
      <c r="D120" t="s">
        <v>538</v>
      </c>
      <c r="F120">
        <v>0.31666699999999998</v>
      </c>
      <c r="G120">
        <v>0.31666699999999998</v>
      </c>
      <c r="H120">
        <v>0.31666699999999998</v>
      </c>
      <c r="I120">
        <v>0.31666699999999998</v>
      </c>
      <c r="J120">
        <v>0.31666699999999998</v>
      </c>
      <c r="K120">
        <v>0.31666699999999998</v>
      </c>
      <c r="L120" s="1">
        <v>0</v>
      </c>
    </row>
    <row r="121" spans="1:12" x14ac:dyDescent="0.35">
      <c r="A121" t="s">
        <v>597</v>
      </c>
    </row>
    <row r="122" spans="1:12" x14ac:dyDescent="0.35">
      <c r="A122" t="s">
        <v>598</v>
      </c>
    </row>
    <row r="123" spans="1:12" x14ac:dyDescent="0.35">
      <c r="A123" t="s">
        <v>536</v>
      </c>
      <c r="B123" t="s">
        <v>599</v>
      </c>
      <c r="D123" t="s">
        <v>600</v>
      </c>
    </row>
    <row r="124" spans="1:12" x14ac:dyDescent="0.35">
      <c r="A124" t="s">
        <v>13</v>
      </c>
      <c r="B124" t="s">
        <v>601</v>
      </c>
      <c r="C124" t="s">
        <v>602</v>
      </c>
      <c r="D124" t="s">
        <v>600</v>
      </c>
      <c r="F124">
        <v>80.421126999999998</v>
      </c>
      <c r="G124">
        <v>85.745209000000003</v>
      </c>
      <c r="H124">
        <v>93.147094999999993</v>
      </c>
      <c r="I124">
        <v>100.642555</v>
      </c>
      <c r="J124">
        <v>103.77984600000001</v>
      </c>
      <c r="K124">
        <v>105.227448</v>
      </c>
      <c r="L124" s="1">
        <v>1.2E-2</v>
      </c>
    </row>
    <row r="125" spans="1:12" x14ac:dyDescent="0.35">
      <c r="A125" t="s">
        <v>16</v>
      </c>
      <c r="B125" t="s">
        <v>603</v>
      </c>
      <c r="C125" t="s">
        <v>604</v>
      </c>
      <c r="D125" t="s">
        <v>600</v>
      </c>
      <c r="F125">
        <v>80.423454000000007</v>
      </c>
      <c r="G125">
        <v>85.825851</v>
      </c>
      <c r="H125">
        <v>93.405456999999998</v>
      </c>
      <c r="I125">
        <v>101.119957</v>
      </c>
      <c r="J125">
        <v>104.209518</v>
      </c>
      <c r="K125">
        <v>105.746033</v>
      </c>
      <c r="L125" s="1">
        <v>1.2E-2</v>
      </c>
    </row>
    <row r="126" spans="1:12" x14ac:dyDescent="0.35">
      <c r="A126" t="s">
        <v>605</v>
      </c>
    </row>
    <row r="127" spans="1:12" x14ac:dyDescent="0.35">
      <c r="A127" t="s">
        <v>536</v>
      </c>
      <c r="B127" t="s">
        <v>606</v>
      </c>
      <c r="D127" t="s">
        <v>538</v>
      </c>
    </row>
    <row r="128" spans="1:12" x14ac:dyDescent="0.35">
      <c r="A128" t="s">
        <v>13</v>
      </c>
      <c r="B128" t="s">
        <v>607</v>
      </c>
      <c r="C128" t="s">
        <v>608</v>
      </c>
      <c r="D128" t="s">
        <v>538</v>
      </c>
      <c r="F128">
        <v>3.0786539999999998</v>
      </c>
      <c r="G128">
        <v>3.1458460000000001</v>
      </c>
      <c r="H128">
        <v>3.1992440000000002</v>
      </c>
      <c r="I128">
        <v>3.227481</v>
      </c>
      <c r="J128">
        <v>3.242883</v>
      </c>
      <c r="K128">
        <v>3.2513450000000002</v>
      </c>
      <c r="L128" s="1">
        <v>3.0000000000000001E-3</v>
      </c>
    </row>
    <row r="129" spans="1:12" x14ac:dyDescent="0.35">
      <c r="A129" t="s">
        <v>16</v>
      </c>
      <c r="B129" t="s">
        <v>609</v>
      </c>
      <c r="C129" t="s">
        <v>610</v>
      </c>
      <c r="D129" t="s">
        <v>538</v>
      </c>
      <c r="F129">
        <v>3.0786479999999998</v>
      </c>
      <c r="G129">
        <v>3.1460409999999999</v>
      </c>
      <c r="H129">
        <v>3.1995480000000001</v>
      </c>
      <c r="I129">
        <v>3.2278009999999999</v>
      </c>
      <c r="J129">
        <v>3.243169</v>
      </c>
      <c r="K129">
        <v>3.2515679999999998</v>
      </c>
      <c r="L129" s="1">
        <v>3.0000000000000001E-3</v>
      </c>
    </row>
    <row r="130" spans="1:12" x14ac:dyDescent="0.35">
      <c r="A130" t="s">
        <v>331</v>
      </c>
    </row>
    <row r="131" spans="1:12" x14ac:dyDescent="0.35">
      <c r="A131" t="s">
        <v>332</v>
      </c>
    </row>
    <row r="132" spans="1:12" x14ac:dyDescent="0.35">
      <c r="A132" t="s">
        <v>333</v>
      </c>
    </row>
    <row r="133" spans="1:12" x14ac:dyDescent="0.35">
      <c r="A133" t="s">
        <v>611</v>
      </c>
      <c r="B133" t="s">
        <v>612</v>
      </c>
      <c r="D133" t="s">
        <v>336</v>
      </c>
    </row>
    <row r="134" spans="1:12" x14ac:dyDescent="0.35">
      <c r="A134" t="s">
        <v>13</v>
      </c>
      <c r="B134" t="s">
        <v>613</v>
      </c>
      <c r="C134" t="s">
        <v>614</v>
      </c>
      <c r="D134" t="s">
        <v>336</v>
      </c>
      <c r="F134">
        <v>1.3979999999999999E-2</v>
      </c>
      <c r="G134">
        <v>1.3979999999999999E-2</v>
      </c>
      <c r="H134">
        <v>1.3979999999999999E-2</v>
      </c>
      <c r="I134">
        <v>1.3979999999999999E-2</v>
      </c>
      <c r="J134">
        <v>1.3979999999999999E-2</v>
      </c>
      <c r="K134">
        <v>1.3979999999999999E-2</v>
      </c>
      <c r="L134" s="1">
        <v>0</v>
      </c>
    </row>
    <row r="135" spans="1:12" x14ac:dyDescent="0.35">
      <c r="A135" t="s">
        <v>16</v>
      </c>
      <c r="B135" t="s">
        <v>615</v>
      </c>
      <c r="C135" t="s">
        <v>616</v>
      </c>
      <c r="D135" t="s">
        <v>336</v>
      </c>
      <c r="F135">
        <v>1.3979999999999999E-2</v>
      </c>
      <c r="G135">
        <v>1.3979999999999999E-2</v>
      </c>
      <c r="H135">
        <v>1.3979999999999999E-2</v>
      </c>
      <c r="I135">
        <v>1.3979999999999999E-2</v>
      </c>
      <c r="J135">
        <v>1.3979999999999999E-2</v>
      </c>
      <c r="K135">
        <v>1.3979999999999999E-2</v>
      </c>
      <c r="L135" s="1">
        <v>0</v>
      </c>
    </row>
    <row r="136" spans="1:12" x14ac:dyDescent="0.35">
      <c r="A136" t="s">
        <v>113</v>
      </c>
      <c r="B136" t="s">
        <v>617</v>
      </c>
      <c r="D136" t="s">
        <v>336</v>
      </c>
    </row>
    <row r="137" spans="1:12" x14ac:dyDescent="0.35">
      <c r="A137" t="s">
        <v>13</v>
      </c>
      <c r="B137" t="s">
        <v>618</v>
      </c>
      <c r="C137" t="s">
        <v>619</v>
      </c>
      <c r="D137" t="s">
        <v>336</v>
      </c>
      <c r="F137">
        <v>1.443255</v>
      </c>
      <c r="G137">
        <v>1.543804</v>
      </c>
      <c r="H137">
        <v>1.6558759999999999</v>
      </c>
      <c r="I137">
        <v>1.727784</v>
      </c>
      <c r="J137">
        <v>1.781531</v>
      </c>
      <c r="K137">
        <v>1.8365130000000001</v>
      </c>
      <c r="L137" s="1">
        <v>1.0999999999999999E-2</v>
      </c>
    </row>
    <row r="138" spans="1:12" x14ac:dyDescent="0.35">
      <c r="A138" t="s">
        <v>16</v>
      </c>
      <c r="B138" t="s">
        <v>620</v>
      </c>
      <c r="C138" t="s">
        <v>621</v>
      </c>
      <c r="D138" t="s">
        <v>336</v>
      </c>
      <c r="F138">
        <v>1.4435819999999999</v>
      </c>
      <c r="G138">
        <v>1.546187</v>
      </c>
      <c r="H138">
        <v>1.663967</v>
      </c>
      <c r="I138">
        <v>1.732874</v>
      </c>
      <c r="J138">
        <v>1.7881830000000001</v>
      </c>
      <c r="K138">
        <v>1.8441050000000001</v>
      </c>
      <c r="L138" s="1">
        <v>1.0999999999999999E-2</v>
      </c>
    </row>
    <row r="139" spans="1:12" x14ac:dyDescent="0.35">
      <c r="A139" t="s">
        <v>342</v>
      </c>
      <c r="B139" t="s">
        <v>622</v>
      </c>
      <c r="D139" t="s">
        <v>336</v>
      </c>
    </row>
    <row r="140" spans="1:12" x14ac:dyDescent="0.35">
      <c r="A140" t="s">
        <v>13</v>
      </c>
      <c r="B140" t="s">
        <v>623</v>
      </c>
      <c r="C140" t="s">
        <v>624</v>
      </c>
      <c r="D140" t="s">
        <v>336</v>
      </c>
      <c r="F140">
        <v>33.178463000000001</v>
      </c>
      <c r="G140">
        <v>42.625346999999998</v>
      </c>
      <c r="H140">
        <v>52.509289000000003</v>
      </c>
      <c r="I140">
        <v>63.244408</v>
      </c>
      <c r="J140">
        <v>69.653053</v>
      </c>
      <c r="K140">
        <v>74.117523000000006</v>
      </c>
      <c r="L140" s="1">
        <v>4.3999999999999997E-2</v>
      </c>
    </row>
    <row r="141" spans="1:12" x14ac:dyDescent="0.35">
      <c r="A141" t="s">
        <v>16</v>
      </c>
      <c r="B141" t="s">
        <v>625</v>
      </c>
      <c r="C141" t="s">
        <v>626</v>
      </c>
      <c r="D141" t="s">
        <v>336</v>
      </c>
      <c r="F141">
        <v>33.289397999999998</v>
      </c>
      <c r="G141">
        <v>43.099434000000002</v>
      </c>
      <c r="H141">
        <v>52.001216999999997</v>
      </c>
      <c r="I141">
        <v>60.046551000000001</v>
      </c>
      <c r="J141">
        <v>64.455826000000002</v>
      </c>
      <c r="K141">
        <v>68.176506000000003</v>
      </c>
      <c r="L141" s="1">
        <v>0.04</v>
      </c>
    </row>
    <row r="142" spans="1:12" x14ac:dyDescent="0.35">
      <c r="A142" t="s">
        <v>348</v>
      </c>
      <c r="B142" t="s">
        <v>627</v>
      </c>
      <c r="D142" t="s">
        <v>336</v>
      </c>
    </row>
    <row r="143" spans="1:12" x14ac:dyDescent="0.35">
      <c r="A143" t="s">
        <v>13</v>
      </c>
      <c r="B143" t="s">
        <v>628</v>
      </c>
      <c r="C143" t="s">
        <v>629</v>
      </c>
      <c r="D143" t="s">
        <v>336</v>
      </c>
      <c r="F143">
        <v>0.56107300000000004</v>
      </c>
      <c r="G143">
        <v>0.561222</v>
      </c>
      <c r="H143">
        <v>0.56645900000000005</v>
      </c>
      <c r="I143">
        <v>0.57174700000000001</v>
      </c>
      <c r="J143">
        <v>0.57333500000000004</v>
      </c>
      <c r="K143">
        <v>0.57397100000000001</v>
      </c>
      <c r="L143" s="1">
        <v>1E-3</v>
      </c>
    </row>
    <row r="144" spans="1:12" x14ac:dyDescent="0.35">
      <c r="A144" t="s">
        <v>16</v>
      </c>
      <c r="B144" t="s">
        <v>630</v>
      </c>
      <c r="C144" t="s">
        <v>631</v>
      </c>
      <c r="D144" t="s">
        <v>336</v>
      </c>
      <c r="F144">
        <v>0.56133299999999997</v>
      </c>
      <c r="G144">
        <v>0.56390499999999999</v>
      </c>
      <c r="H144">
        <v>0.57049799999999995</v>
      </c>
      <c r="I144">
        <v>0.57470900000000003</v>
      </c>
      <c r="J144">
        <v>0.57578799999999997</v>
      </c>
      <c r="K144">
        <v>0.57684800000000003</v>
      </c>
      <c r="L144" s="1">
        <v>1E-3</v>
      </c>
    </row>
    <row r="145" spans="1:12" x14ac:dyDescent="0.35">
      <c r="A145" t="s">
        <v>466</v>
      </c>
      <c r="B145" t="s">
        <v>632</v>
      </c>
      <c r="D145" t="s">
        <v>336</v>
      </c>
    </row>
    <row r="146" spans="1:12" x14ac:dyDescent="0.35">
      <c r="A146" t="s">
        <v>13</v>
      </c>
      <c r="B146" t="s">
        <v>633</v>
      </c>
      <c r="C146" t="s">
        <v>634</v>
      </c>
      <c r="D146" t="s">
        <v>336</v>
      </c>
      <c r="F146">
        <v>0.11776300000000001</v>
      </c>
      <c r="G146">
        <v>0.11776300000000001</v>
      </c>
      <c r="H146">
        <v>0.11776300000000001</v>
      </c>
      <c r="I146">
        <v>0.11776300000000001</v>
      </c>
      <c r="J146">
        <v>0.11776300000000001</v>
      </c>
      <c r="K146">
        <v>0.11776300000000001</v>
      </c>
      <c r="L146" s="1">
        <v>0</v>
      </c>
    </row>
    <row r="147" spans="1:12" x14ac:dyDescent="0.35">
      <c r="A147" t="s">
        <v>16</v>
      </c>
      <c r="B147" t="s">
        <v>635</v>
      </c>
      <c r="C147" t="s">
        <v>636</v>
      </c>
      <c r="D147" t="s">
        <v>336</v>
      </c>
      <c r="F147">
        <v>0.11776300000000001</v>
      </c>
      <c r="G147">
        <v>0.11776300000000001</v>
      </c>
      <c r="H147">
        <v>0.11776300000000001</v>
      </c>
      <c r="I147">
        <v>0.11776300000000001</v>
      </c>
      <c r="J147">
        <v>0.11776300000000001</v>
      </c>
      <c r="K147">
        <v>0.11776300000000001</v>
      </c>
      <c r="L147" s="1">
        <v>0</v>
      </c>
    </row>
    <row r="148" spans="1:12" x14ac:dyDescent="0.35">
      <c r="A148" t="s">
        <v>67</v>
      </c>
      <c r="B148" t="s">
        <v>637</v>
      </c>
      <c r="D148" t="s">
        <v>336</v>
      </c>
    </row>
    <row r="149" spans="1:12" x14ac:dyDescent="0.35">
      <c r="A149" t="s">
        <v>13</v>
      </c>
      <c r="B149" t="s">
        <v>638</v>
      </c>
      <c r="C149" t="s">
        <v>639</v>
      </c>
      <c r="D149" t="s">
        <v>336</v>
      </c>
      <c r="F149">
        <v>35.314532999999997</v>
      </c>
      <c r="G149">
        <v>44.862118000000002</v>
      </c>
      <c r="H149">
        <v>54.863368999999999</v>
      </c>
      <c r="I149">
        <v>65.675674000000001</v>
      </c>
      <c r="J149">
        <v>72.139656000000002</v>
      </c>
      <c r="K149">
        <v>76.659744000000003</v>
      </c>
      <c r="L149" s="1">
        <v>4.2000000000000003E-2</v>
      </c>
    </row>
    <row r="150" spans="1:12" x14ac:dyDescent="0.35">
      <c r="A150" t="s">
        <v>16</v>
      </c>
      <c r="B150" t="s">
        <v>640</v>
      </c>
      <c r="C150" t="s">
        <v>641</v>
      </c>
      <c r="D150" t="s">
        <v>336</v>
      </c>
      <c r="F150">
        <v>35.426056000000003</v>
      </c>
      <c r="G150">
        <v>45.341267000000002</v>
      </c>
      <c r="H150">
        <v>54.367427999999997</v>
      </c>
      <c r="I150">
        <v>62.485878</v>
      </c>
      <c r="J150">
        <v>66.951537999999999</v>
      </c>
      <c r="K150">
        <v>70.729202000000001</v>
      </c>
      <c r="L150" s="1">
        <v>3.9E-2</v>
      </c>
    </row>
    <row r="151" spans="1:12" x14ac:dyDescent="0.35">
      <c r="A151" t="s">
        <v>359</v>
      </c>
    </row>
    <row r="152" spans="1:12" x14ac:dyDescent="0.35">
      <c r="A152" t="s">
        <v>611</v>
      </c>
      <c r="B152" t="s">
        <v>642</v>
      </c>
      <c r="D152" t="s">
        <v>361</v>
      </c>
    </row>
    <row r="153" spans="1:12" x14ac:dyDescent="0.35">
      <c r="A153" t="s">
        <v>13</v>
      </c>
      <c r="B153" t="s">
        <v>643</v>
      </c>
      <c r="C153" t="s">
        <v>644</v>
      </c>
      <c r="D153" t="s">
        <v>361</v>
      </c>
      <c r="F153">
        <v>9.7511E-2</v>
      </c>
      <c r="G153">
        <v>9.7511E-2</v>
      </c>
      <c r="H153">
        <v>9.7511E-2</v>
      </c>
      <c r="I153">
        <v>9.7511E-2</v>
      </c>
      <c r="J153">
        <v>9.7511E-2</v>
      </c>
      <c r="K153">
        <v>9.7511E-2</v>
      </c>
      <c r="L153" s="1">
        <v>0</v>
      </c>
    </row>
    <row r="154" spans="1:12" x14ac:dyDescent="0.35">
      <c r="A154" t="s">
        <v>16</v>
      </c>
      <c r="B154" t="s">
        <v>645</v>
      </c>
      <c r="C154" t="s">
        <v>646</v>
      </c>
      <c r="D154" t="s">
        <v>361</v>
      </c>
      <c r="F154">
        <v>9.7511E-2</v>
      </c>
      <c r="G154">
        <v>9.7511E-2</v>
      </c>
      <c r="H154">
        <v>9.7511E-2</v>
      </c>
      <c r="I154">
        <v>9.7511E-2</v>
      </c>
      <c r="J154">
        <v>9.7511E-2</v>
      </c>
      <c r="K154">
        <v>9.7511E-2</v>
      </c>
      <c r="L154" s="1">
        <v>0</v>
      </c>
    </row>
    <row r="155" spans="1:12" x14ac:dyDescent="0.35">
      <c r="A155" t="s">
        <v>113</v>
      </c>
      <c r="B155" t="s">
        <v>647</v>
      </c>
      <c r="D155" t="s">
        <v>361</v>
      </c>
    </row>
    <row r="156" spans="1:12" x14ac:dyDescent="0.35">
      <c r="A156" t="s">
        <v>13</v>
      </c>
      <c r="B156" t="s">
        <v>648</v>
      </c>
      <c r="C156" t="s">
        <v>649</v>
      </c>
      <c r="D156" t="s">
        <v>361</v>
      </c>
      <c r="F156">
        <v>10.066701</v>
      </c>
      <c r="G156">
        <v>10.768033000000001</v>
      </c>
      <c r="H156">
        <v>11.549734000000001</v>
      </c>
      <c r="I156">
        <v>12.051291000000001</v>
      </c>
      <c r="J156">
        <v>12.426178</v>
      </c>
      <c r="K156">
        <v>12.809677000000001</v>
      </c>
      <c r="L156" s="1">
        <v>1.0999999999999999E-2</v>
      </c>
    </row>
    <row r="157" spans="1:12" x14ac:dyDescent="0.35">
      <c r="A157" t="s">
        <v>16</v>
      </c>
      <c r="B157" t="s">
        <v>650</v>
      </c>
      <c r="C157" t="s">
        <v>651</v>
      </c>
      <c r="D157" t="s">
        <v>361</v>
      </c>
      <c r="F157">
        <v>10.068986000000001</v>
      </c>
      <c r="G157">
        <v>10.784656999999999</v>
      </c>
      <c r="H157">
        <v>11.606166</v>
      </c>
      <c r="I157">
        <v>12.086798999999999</v>
      </c>
      <c r="J157">
        <v>12.472576</v>
      </c>
      <c r="K157">
        <v>12.862634999999999</v>
      </c>
      <c r="L157" s="1">
        <v>1.0999999999999999E-2</v>
      </c>
    </row>
    <row r="158" spans="1:12" x14ac:dyDescent="0.35">
      <c r="A158" t="s">
        <v>342</v>
      </c>
      <c r="B158" t="s">
        <v>652</v>
      </c>
      <c r="D158" t="s">
        <v>361</v>
      </c>
    </row>
    <row r="159" spans="1:12" x14ac:dyDescent="0.35">
      <c r="A159" t="s">
        <v>13</v>
      </c>
      <c r="B159" t="s">
        <v>653</v>
      </c>
      <c r="C159" t="s">
        <v>368</v>
      </c>
      <c r="D159" t="s">
        <v>361</v>
      </c>
      <c r="F159">
        <v>46.505924</v>
      </c>
      <c r="G159">
        <v>59.208064999999998</v>
      </c>
      <c r="H159">
        <v>72.270660000000007</v>
      </c>
      <c r="I159">
        <v>86.340187</v>
      </c>
      <c r="J159">
        <v>94.886870999999999</v>
      </c>
      <c r="K159">
        <v>100.877022</v>
      </c>
      <c r="L159" s="1">
        <v>4.2000000000000003E-2</v>
      </c>
    </row>
    <row r="160" spans="1:12" x14ac:dyDescent="0.35">
      <c r="A160" t="s">
        <v>16</v>
      </c>
      <c r="B160" t="s">
        <v>654</v>
      </c>
      <c r="C160" t="s">
        <v>370</v>
      </c>
      <c r="D160" t="s">
        <v>361</v>
      </c>
      <c r="F160">
        <v>46.611797000000003</v>
      </c>
      <c r="G160">
        <v>59.797649</v>
      </c>
      <c r="H160">
        <v>71.474945000000005</v>
      </c>
      <c r="I160">
        <v>82.254752999999994</v>
      </c>
      <c r="J160">
        <v>88.017807000000005</v>
      </c>
      <c r="K160">
        <v>92.913398999999998</v>
      </c>
      <c r="L160" s="1">
        <v>3.9E-2</v>
      </c>
    </row>
    <row r="161" spans="1:12" x14ac:dyDescent="0.35">
      <c r="A161" t="s">
        <v>348</v>
      </c>
      <c r="B161" t="s">
        <v>655</v>
      </c>
      <c r="D161" t="s">
        <v>361</v>
      </c>
    </row>
    <row r="162" spans="1:12" x14ac:dyDescent="0.35">
      <c r="A162" t="s">
        <v>13</v>
      </c>
      <c r="B162" t="s">
        <v>656</v>
      </c>
      <c r="C162" t="s">
        <v>373</v>
      </c>
      <c r="D162" t="s">
        <v>361</v>
      </c>
      <c r="F162">
        <v>0.76568899999999995</v>
      </c>
      <c r="G162">
        <v>0.76588999999999996</v>
      </c>
      <c r="H162">
        <v>0.77439999999999998</v>
      </c>
      <c r="I162">
        <v>0.78323699999999996</v>
      </c>
      <c r="J162">
        <v>0.78562100000000001</v>
      </c>
      <c r="K162">
        <v>0.78662100000000001</v>
      </c>
      <c r="L162" s="1">
        <v>1E-3</v>
      </c>
    </row>
    <row r="163" spans="1:12" x14ac:dyDescent="0.35">
      <c r="A163" t="s">
        <v>16</v>
      </c>
      <c r="B163" t="s">
        <v>657</v>
      </c>
      <c r="C163" t="s">
        <v>375</v>
      </c>
      <c r="D163" t="s">
        <v>361</v>
      </c>
      <c r="F163">
        <v>0.76614300000000002</v>
      </c>
      <c r="G163">
        <v>0.77027100000000004</v>
      </c>
      <c r="H163">
        <v>0.78118600000000005</v>
      </c>
      <c r="I163">
        <v>0.78751800000000005</v>
      </c>
      <c r="J163">
        <v>0.78930699999999998</v>
      </c>
      <c r="K163">
        <v>0.79109200000000002</v>
      </c>
      <c r="L163" s="1">
        <v>2E-3</v>
      </c>
    </row>
    <row r="164" spans="1:12" x14ac:dyDescent="0.35">
      <c r="A164" t="s">
        <v>466</v>
      </c>
      <c r="B164" t="s">
        <v>658</v>
      </c>
      <c r="D164" t="s">
        <v>361</v>
      </c>
    </row>
    <row r="165" spans="1:12" x14ac:dyDescent="0.35">
      <c r="A165" t="s">
        <v>13</v>
      </c>
      <c r="B165" t="s">
        <v>659</v>
      </c>
      <c r="C165" t="s">
        <v>660</v>
      </c>
      <c r="D165" t="s">
        <v>361</v>
      </c>
      <c r="F165">
        <v>0.86204999999999998</v>
      </c>
      <c r="G165">
        <v>0.86204999999999998</v>
      </c>
      <c r="H165">
        <v>0.86204999999999998</v>
      </c>
      <c r="I165">
        <v>0.86204999999999998</v>
      </c>
      <c r="J165">
        <v>0.86204999999999998</v>
      </c>
      <c r="K165">
        <v>0.86204999999999998</v>
      </c>
      <c r="L165" s="1">
        <v>0</v>
      </c>
    </row>
    <row r="166" spans="1:12" x14ac:dyDescent="0.35">
      <c r="A166" t="s">
        <v>16</v>
      </c>
      <c r="B166" t="s">
        <v>661</v>
      </c>
      <c r="C166" t="s">
        <v>662</v>
      </c>
      <c r="D166" t="s">
        <v>361</v>
      </c>
      <c r="F166">
        <v>0.86204999999999998</v>
      </c>
      <c r="G166">
        <v>0.86204999999999998</v>
      </c>
      <c r="H166">
        <v>0.86204999999999998</v>
      </c>
      <c r="I166">
        <v>0.86204999999999998</v>
      </c>
      <c r="J166">
        <v>0.86204999999999998</v>
      </c>
      <c r="K166">
        <v>0.86204999999999998</v>
      </c>
      <c r="L166" s="1">
        <v>0</v>
      </c>
    </row>
    <row r="167" spans="1:12" x14ac:dyDescent="0.35">
      <c r="A167" t="s">
        <v>67</v>
      </c>
      <c r="B167" t="s">
        <v>663</v>
      </c>
      <c r="D167" t="s">
        <v>361</v>
      </c>
    </row>
    <row r="168" spans="1:12" x14ac:dyDescent="0.35">
      <c r="A168" t="s">
        <v>13</v>
      </c>
      <c r="B168" t="s">
        <v>664</v>
      </c>
      <c r="C168" t="s">
        <v>378</v>
      </c>
      <c r="D168" t="s">
        <v>361</v>
      </c>
      <c r="F168">
        <v>58.297874</v>
      </c>
      <c r="G168">
        <v>71.701553000000004</v>
      </c>
      <c r="H168">
        <v>85.554359000000005</v>
      </c>
      <c r="I168">
        <v>100.134277</v>
      </c>
      <c r="J168">
        <v>109.058235</v>
      </c>
      <c r="K168">
        <v>115.432884</v>
      </c>
      <c r="L168" s="1">
        <v>3.5999999999999997E-2</v>
      </c>
    </row>
    <row r="169" spans="1:12" x14ac:dyDescent="0.35">
      <c r="A169" t="s">
        <v>16</v>
      </c>
      <c r="B169" t="s">
        <v>665</v>
      </c>
      <c r="C169" t="s">
        <v>380</v>
      </c>
      <c r="D169" t="s">
        <v>361</v>
      </c>
      <c r="F169">
        <v>58.406486999999998</v>
      </c>
      <c r="G169">
        <v>72.312140999999997</v>
      </c>
      <c r="H169">
        <v>84.821860999999998</v>
      </c>
      <c r="I169">
        <v>96.088638000000003</v>
      </c>
      <c r="J169">
        <v>102.23925</v>
      </c>
      <c r="K169">
        <v>107.52668799999999</v>
      </c>
      <c r="L169" s="1">
        <v>3.3000000000000002E-2</v>
      </c>
    </row>
    <row r="170" spans="1:12" x14ac:dyDescent="0.35">
      <c r="A170" t="s">
        <v>381</v>
      </c>
    </row>
    <row r="171" spans="1:12" x14ac:dyDescent="0.35">
      <c r="A171" t="s">
        <v>382</v>
      </c>
      <c r="B171" t="s">
        <v>666</v>
      </c>
      <c r="D171" t="s">
        <v>361</v>
      </c>
    </row>
    <row r="172" spans="1:12" x14ac:dyDescent="0.35">
      <c r="A172" t="s">
        <v>13</v>
      </c>
      <c r="B172" t="s">
        <v>667</v>
      </c>
      <c r="C172" t="s">
        <v>385</v>
      </c>
      <c r="D172" t="s">
        <v>361</v>
      </c>
      <c r="F172">
        <v>8.1640499999999996</v>
      </c>
      <c r="G172">
        <v>8.7865090000000006</v>
      </c>
      <c r="H172">
        <v>9.4565509999999993</v>
      </c>
      <c r="I172">
        <v>9.8767180000000003</v>
      </c>
      <c r="J172">
        <v>10.202756000000001</v>
      </c>
      <c r="K172">
        <v>10.570430999999999</v>
      </c>
      <c r="L172" s="1">
        <v>1.0999999999999999E-2</v>
      </c>
    </row>
    <row r="173" spans="1:12" x14ac:dyDescent="0.35">
      <c r="A173" t="s">
        <v>16</v>
      </c>
      <c r="B173" t="s">
        <v>668</v>
      </c>
      <c r="C173" t="s">
        <v>387</v>
      </c>
      <c r="D173" t="s">
        <v>361</v>
      </c>
      <c r="F173">
        <v>8.163589</v>
      </c>
      <c r="G173">
        <v>8.7868860000000009</v>
      </c>
      <c r="H173">
        <v>9.4583860000000008</v>
      </c>
      <c r="I173">
        <v>9.8784589999999994</v>
      </c>
      <c r="J173">
        <v>10.204591000000001</v>
      </c>
      <c r="K173">
        <v>10.572481</v>
      </c>
      <c r="L173" s="1">
        <v>1.0999999999999999E-2</v>
      </c>
    </row>
    <row r="174" spans="1:12" x14ac:dyDescent="0.35">
      <c r="A174" t="s">
        <v>388</v>
      </c>
      <c r="B174" t="s">
        <v>669</v>
      </c>
      <c r="D174" t="s">
        <v>361</v>
      </c>
    </row>
    <row r="175" spans="1:12" x14ac:dyDescent="0.35">
      <c r="A175" t="s">
        <v>13</v>
      </c>
      <c r="B175" t="s">
        <v>670</v>
      </c>
      <c r="C175" t="s">
        <v>391</v>
      </c>
      <c r="D175" t="s">
        <v>361</v>
      </c>
      <c r="F175">
        <v>50.133826999999997</v>
      </c>
      <c r="G175">
        <v>62.915042999999997</v>
      </c>
      <c r="H175">
        <v>76.097801000000004</v>
      </c>
      <c r="I175">
        <v>90.257553000000001</v>
      </c>
      <c r="J175">
        <v>98.855484000000004</v>
      </c>
      <c r="K175">
        <v>104.86245</v>
      </c>
      <c r="L175" s="1">
        <v>0.04</v>
      </c>
    </row>
    <row r="176" spans="1:12" x14ac:dyDescent="0.35">
      <c r="A176" t="s">
        <v>16</v>
      </c>
      <c r="B176" t="s">
        <v>671</v>
      </c>
      <c r="C176" t="s">
        <v>393</v>
      </c>
      <c r="D176" t="s">
        <v>361</v>
      </c>
      <c r="F176">
        <v>50.242893000000002</v>
      </c>
      <c r="G176">
        <v>63.525249000000002</v>
      </c>
      <c r="H176">
        <v>75.363472000000002</v>
      </c>
      <c r="I176">
        <v>86.210175000000007</v>
      </c>
      <c r="J176">
        <v>92.034653000000006</v>
      </c>
      <c r="K176">
        <v>96.954200999999998</v>
      </c>
      <c r="L176" s="1">
        <v>3.6999999999999998E-2</v>
      </c>
    </row>
    <row r="177" spans="1:12" x14ac:dyDescent="0.35">
      <c r="A177" t="s">
        <v>394</v>
      </c>
    </row>
    <row r="178" spans="1:12" x14ac:dyDescent="0.35">
      <c r="A178" t="s">
        <v>611</v>
      </c>
      <c r="B178" t="s">
        <v>672</v>
      </c>
      <c r="D178" t="s">
        <v>396</v>
      </c>
    </row>
    <row r="179" spans="1:12" x14ac:dyDescent="0.35">
      <c r="A179" t="s">
        <v>13</v>
      </c>
      <c r="B179" t="s">
        <v>673</v>
      </c>
      <c r="C179" t="s">
        <v>674</v>
      </c>
      <c r="D179" t="s">
        <v>396</v>
      </c>
      <c r="F179">
        <v>1.0165280000000001</v>
      </c>
      <c r="G179">
        <v>1.0165280000000001</v>
      </c>
      <c r="H179">
        <v>1.0165280000000001</v>
      </c>
      <c r="I179">
        <v>1.0165280000000001</v>
      </c>
      <c r="J179">
        <v>1.0165280000000001</v>
      </c>
      <c r="K179">
        <v>1.0165280000000001</v>
      </c>
      <c r="L179" s="1">
        <v>0</v>
      </c>
    </row>
    <row r="180" spans="1:12" x14ac:dyDescent="0.35">
      <c r="A180" t="s">
        <v>16</v>
      </c>
      <c r="B180" t="s">
        <v>675</v>
      </c>
      <c r="C180" t="s">
        <v>676</v>
      </c>
      <c r="D180" t="s">
        <v>396</v>
      </c>
      <c r="F180">
        <v>1.0165280000000001</v>
      </c>
      <c r="G180">
        <v>1.0165280000000001</v>
      </c>
      <c r="H180">
        <v>1.0165280000000001</v>
      </c>
      <c r="I180">
        <v>1.0165280000000001</v>
      </c>
      <c r="J180">
        <v>1.0165280000000001</v>
      </c>
      <c r="K180">
        <v>1.0165280000000001</v>
      </c>
      <c r="L180" s="1">
        <v>0</v>
      </c>
    </row>
    <row r="181" spans="1:12" x14ac:dyDescent="0.35">
      <c r="A181" t="s">
        <v>113</v>
      </c>
      <c r="B181" t="s">
        <v>677</v>
      </c>
      <c r="D181" t="s">
        <v>396</v>
      </c>
    </row>
    <row r="182" spans="1:12" x14ac:dyDescent="0.35">
      <c r="A182" t="s">
        <v>13</v>
      </c>
      <c r="B182" t="s">
        <v>678</v>
      </c>
      <c r="C182" t="s">
        <v>679</v>
      </c>
      <c r="D182" t="s">
        <v>396</v>
      </c>
      <c r="F182">
        <v>108.52356</v>
      </c>
      <c r="G182">
        <v>116.394722</v>
      </c>
      <c r="H182">
        <v>125.14054899999999</v>
      </c>
      <c r="I182">
        <v>130.67846700000001</v>
      </c>
      <c r="J182">
        <v>134.78710899999999</v>
      </c>
      <c r="K182">
        <v>138.97695899999999</v>
      </c>
      <c r="L182" s="1">
        <v>1.0999999999999999E-2</v>
      </c>
    </row>
    <row r="183" spans="1:12" x14ac:dyDescent="0.35">
      <c r="A183" t="s">
        <v>16</v>
      </c>
      <c r="B183" t="s">
        <v>680</v>
      </c>
      <c r="C183" t="s">
        <v>681</v>
      </c>
      <c r="D183" t="s">
        <v>396</v>
      </c>
      <c r="F183">
        <v>108.54995</v>
      </c>
      <c r="G183">
        <v>116.585617</v>
      </c>
      <c r="H183">
        <v>125.782623</v>
      </c>
      <c r="I183">
        <v>131.085846</v>
      </c>
      <c r="J183">
        <v>135.31759600000001</v>
      </c>
      <c r="K183">
        <v>139.57959</v>
      </c>
      <c r="L183" s="1">
        <v>1.0999999999999999E-2</v>
      </c>
    </row>
    <row r="184" spans="1:12" x14ac:dyDescent="0.35">
      <c r="A184" t="s">
        <v>342</v>
      </c>
      <c r="B184" t="s">
        <v>682</v>
      </c>
      <c r="D184" t="s">
        <v>396</v>
      </c>
    </row>
    <row r="185" spans="1:12" x14ac:dyDescent="0.35">
      <c r="A185" t="s">
        <v>13</v>
      </c>
      <c r="B185" t="s">
        <v>683</v>
      </c>
      <c r="C185" t="s">
        <v>403</v>
      </c>
      <c r="D185" t="s">
        <v>396</v>
      </c>
      <c r="F185">
        <v>378.46252399999997</v>
      </c>
      <c r="G185">
        <v>480.62396200000001</v>
      </c>
      <c r="H185">
        <v>591.70874000000003</v>
      </c>
      <c r="I185">
        <v>701.09399399999995</v>
      </c>
      <c r="J185">
        <v>772.83422900000005</v>
      </c>
      <c r="K185">
        <v>819.180969</v>
      </c>
      <c r="L185" s="1">
        <v>4.2000000000000003E-2</v>
      </c>
    </row>
    <row r="186" spans="1:12" x14ac:dyDescent="0.35">
      <c r="A186" t="s">
        <v>16</v>
      </c>
      <c r="B186" t="s">
        <v>684</v>
      </c>
      <c r="C186" t="s">
        <v>405</v>
      </c>
      <c r="D186" t="s">
        <v>396</v>
      </c>
      <c r="F186">
        <v>378.89202899999998</v>
      </c>
      <c r="G186">
        <v>479.46154799999999</v>
      </c>
      <c r="H186">
        <v>569.86303699999996</v>
      </c>
      <c r="I186">
        <v>652.64904799999999</v>
      </c>
      <c r="J186">
        <v>691.85522500000002</v>
      </c>
      <c r="K186">
        <v>729.29699700000003</v>
      </c>
      <c r="L186" s="1">
        <v>3.6999999999999998E-2</v>
      </c>
    </row>
    <row r="187" spans="1:12" x14ac:dyDescent="0.35">
      <c r="A187" t="s">
        <v>348</v>
      </c>
      <c r="B187" t="s">
        <v>685</v>
      </c>
      <c r="D187" t="s">
        <v>396</v>
      </c>
    </row>
    <row r="188" spans="1:12" x14ac:dyDescent="0.35">
      <c r="A188" t="s">
        <v>13</v>
      </c>
      <c r="B188" t="s">
        <v>686</v>
      </c>
      <c r="C188" t="s">
        <v>408</v>
      </c>
      <c r="D188" t="s">
        <v>396</v>
      </c>
      <c r="F188">
        <v>6.7939990000000003</v>
      </c>
      <c r="G188">
        <v>6.7823789999999997</v>
      </c>
      <c r="H188">
        <v>6.9028080000000003</v>
      </c>
      <c r="I188">
        <v>6.7807579999999996</v>
      </c>
      <c r="J188">
        <v>6.7688360000000003</v>
      </c>
      <c r="K188">
        <v>6.7430329999999996</v>
      </c>
      <c r="L188" s="1">
        <v>0</v>
      </c>
    </row>
    <row r="189" spans="1:12" x14ac:dyDescent="0.35">
      <c r="A189" t="s">
        <v>16</v>
      </c>
      <c r="B189" t="s">
        <v>687</v>
      </c>
      <c r="C189" t="s">
        <v>410</v>
      </c>
      <c r="D189" t="s">
        <v>396</v>
      </c>
      <c r="F189">
        <v>6.7821280000000002</v>
      </c>
      <c r="G189">
        <v>6.702636</v>
      </c>
      <c r="H189">
        <v>6.7285490000000001</v>
      </c>
      <c r="I189">
        <v>6.6846870000000003</v>
      </c>
      <c r="J189">
        <v>6.6278129999999997</v>
      </c>
      <c r="K189">
        <v>6.5737959999999998</v>
      </c>
      <c r="L189" s="1">
        <v>-1E-3</v>
      </c>
    </row>
    <row r="190" spans="1:12" x14ac:dyDescent="0.35">
      <c r="A190" t="s">
        <v>466</v>
      </c>
      <c r="B190" t="s">
        <v>688</v>
      </c>
      <c r="D190" t="s">
        <v>396</v>
      </c>
    </row>
    <row r="191" spans="1:12" x14ac:dyDescent="0.35">
      <c r="A191" t="s">
        <v>13</v>
      </c>
      <c r="B191" t="s">
        <v>689</v>
      </c>
      <c r="C191" t="s">
        <v>690</v>
      </c>
      <c r="D191" t="s">
        <v>396</v>
      </c>
      <c r="F191">
        <v>16.760142999999999</v>
      </c>
      <c r="G191">
        <v>16.760142999999999</v>
      </c>
      <c r="H191">
        <v>16.760142999999999</v>
      </c>
      <c r="I191">
        <v>16.760142999999999</v>
      </c>
      <c r="J191">
        <v>16.760142999999999</v>
      </c>
      <c r="K191">
        <v>16.760142999999999</v>
      </c>
      <c r="L191" s="1">
        <v>0</v>
      </c>
    </row>
    <row r="192" spans="1:12" x14ac:dyDescent="0.35">
      <c r="A192" t="s">
        <v>16</v>
      </c>
      <c r="B192" t="s">
        <v>691</v>
      </c>
      <c r="C192" t="s">
        <v>692</v>
      </c>
      <c r="D192" t="s">
        <v>396</v>
      </c>
      <c r="F192">
        <v>16.760142999999999</v>
      </c>
      <c r="G192">
        <v>16.760142999999999</v>
      </c>
      <c r="H192">
        <v>16.760142999999999</v>
      </c>
      <c r="I192">
        <v>16.760142999999999</v>
      </c>
      <c r="J192">
        <v>16.760142999999999</v>
      </c>
      <c r="K192">
        <v>16.760142999999999</v>
      </c>
      <c r="L192" s="1">
        <v>0</v>
      </c>
    </row>
    <row r="193" spans="1:12" x14ac:dyDescent="0.35">
      <c r="A193" t="s">
        <v>67</v>
      </c>
      <c r="B193" t="s">
        <v>693</v>
      </c>
      <c r="D193" t="s">
        <v>396</v>
      </c>
    </row>
    <row r="194" spans="1:12" x14ac:dyDescent="0.35">
      <c r="A194" t="s">
        <v>13</v>
      </c>
      <c r="B194" t="s">
        <v>694</v>
      </c>
      <c r="C194" t="s">
        <v>413</v>
      </c>
      <c r="D194" t="s">
        <v>396</v>
      </c>
      <c r="F194">
        <v>511.55676299999999</v>
      </c>
      <c r="G194">
        <v>621.57769800000005</v>
      </c>
      <c r="H194">
        <v>741.52880900000002</v>
      </c>
      <c r="I194">
        <v>856.32989499999996</v>
      </c>
      <c r="J194">
        <v>932.16687000000002</v>
      </c>
      <c r="K194">
        <v>982.67761199999995</v>
      </c>
      <c r="L194" s="1">
        <v>3.4000000000000002E-2</v>
      </c>
    </row>
    <row r="195" spans="1:12" x14ac:dyDescent="0.35">
      <c r="A195" t="s">
        <v>16</v>
      </c>
      <c r="B195" t="s">
        <v>695</v>
      </c>
      <c r="C195" t="s">
        <v>415</v>
      </c>
      <c r="D195" t="s">
        <v>396</v>
      </c>
      <c r="F195">
        <v>512.00079300000004</v>
      </c>
      <c r="G195">
        <v>620.52648899999997</v>
      </c>
      <c r="H195">
        <v>720.15087900000003</v>
      </c>
      <c r="I195">
        <v>808.19622800000002</v>
      </c>
      <c r="J195">
        <v>851.577271</v>
      </c>
      <c r="K195">
        <v>893.22705099999996</v>
      </c>
      <c r="L195" s="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Table_21._Residential_Sector_Eq</vt:lpstr>
      <vt:lpstr>Table_21._Commercial_Sector_Eq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2023-04-24T22:51:40Z</dcterms:created>
  <dcterms:modified xsi:type="dcterms:W3CDTF">2023-04-24T22:51:40Z</dcterms:modified>
</cp:coreProperties>
</file>