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kowanokeefe/Documents/CGS/ IRA/IRA_nuclear_fixed_output/"/>
    </mc:Choice>
  </mc:AlternateContent>
  <xr:revisionPtr revIDLastSave="0" documentId="13_ncr:1_{C83822E6-7FEF-B64F-886A-CF4A2C9C2555}" xr6:coauthVersionLast="47" xr6:coauthVersionMax="47" xr10:uidLastSave="{00000000-0000-0000-0000-000000000000}"/>
  <bookViews>
    <workbookView xWindow="20" yWindow="500" windowWidth="25600" windowHeight="17500" xr2:uid="{00000000-000D-0000-FFFF-FFFF00000000}"/>
  </bookViews>
  <sheets>
    <sheet name="National Summary" sheetId="4" r:id="rId1"/>
    <sheet name="Data by plant and state" sheetId="1" r:id="rId2"/>
  </sheets>
  <definedNames>
    <definedName name="_xlnm._FilterDatabase" localSheetId="1" hidden="1">'Data by plant and state'!$A$6:$N$6</definedName>
    <definedName name="_xlnm.Print_Titles" localSheetId="1">'Data by plant and state'!$1:$6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B3" i="4"/>
  <c r="C2" i="4"/>
  <c r="D2" i="4"/>
  <c r="B2" i="4"/>
  <c r="Y108" i="1"/>
  <c r="X108" i="1"/>
  <c r="W108" i="1"/>
  <c r="X105" i="1"/>
  <c r="Y105" i="1"/>
  <c r="X104" i="1"/>
  <c r="Y104" i="1"/>
  <c r="X100" i="1"/>
  <c r="Y100" i="1"/>
  <c r="X96" i="1"/>
  <c r="Y96" i="1"/>
  <c r="X92" i="1"/>
  <c r="Y92" i="1"/>
  <c r="X85" i="1"/>
  <c r="Y85" i="1"/>
  <c r="X76" i="1"/>
  <c r="Y76" i="1"/>
  <c r="X74" i="1"/>
  <c r="Y74" i="1"/>
  <c r="X68" i="1"/>
  <c r="Y68" i="1"/>
  <c r="X62" i="1"/>
  <c r="Y62" i="1"/>
  <c r="X63" i="1"/>
  <c r="Y63" i="1"/>
  <c r="X64" i="1"/>
  <c r="Y64" i="1"/>
  <c r="X55" i="1"/>
  <c r="Y55" i="1"/>
  <c r="X56" i="1"/>
  <c r="Y56" i="1"/>
  <c r="X57" i="1"/>
  <c r="Y57" i="1"/>
  <c r="X52" i="1"/>
  <c r="Y52" i="1"/>
  <c r="X48" i="1"/>
  <c r="Y48" i="1"/>
  <c r="X45" i="1"/>
  <c r="Y45" i="1"/>
  <c r="X46" i="1"/>
  <c r="Y46" i="1"/>
  <c r="X42" i="1"/>
  <c r="Y42" i="1"/>
  <c r="X43" i="1"/>
  <c r="Y43" i="1"/>
  <c r="X30" i="1"/>
  <c r="Y30" i="1"/>
  <c r="X31" i="1"/>
  <c r="Y31" i="1"/>
  <c r="X25" i="1"/>
  <c r="Y25" i="1"/>
  <c r="X21" i="1"/>
  <c r="Y21" i="1"/>
  <c r="X19" i="1"/>
  <c r="Y19" i="1"/>
  <c r="W105" i="1"/>
  <c r="W104" i="1"/>
  <c r="W100" i="1"/>
  <c r="W96" i="1"/>
  <c r="W92" i="1"/>
  <c r="W85" i="1"/>
  <c r="W76" i="1"/>
  <c r="W74" i="1"/>
  <c r="W68" i="1"/>
  <c r="W64" i="1"/>
  <c r="W63" i="1"/>
  <c r="W62" i="1"/>
  <c r="W57" i="1"/>
  <c r="W56" i="1"/>
  <c r="W55" i="1"/>
  <c r="W52" i="1"/>
  <c r="W48" i="1"/>
  <c r="W46" i="1"/>
  <c r="W45" i="1"/>
  <c r="W43" i="1"/>
  <c r="W42" i="1"/>
  <c r="W31" i="1"/>
  <c r="W30" i="1"/>
  <c r="W25" i="1"/>
  <c r="W21" i="1"/>
  <c r="W19" i="1"/>
  <c r="X17" i="1"/>
  <c r="Y17" i="1"/>
  <c r="W17" i="1"/>
  <c r="X14" i="1"/>
  <c r="Y14" i="1"/>
  <c r="W14" i="1"/>
  <c r="X12" i="1"/>
  <c r="Y12" i="1"/>
  <c r="W12" i="1"/>
  <c r="X7" i="1"/>
  <c r="Y7" i="1"/>
  <c r="W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S15" i="1"/>
  <c r="T15" i="1"/>
  <c r="U15" i="1"/>
  <c r="S16" i="1"/>
  <c r="T16" i="1"/>
  <c r="U16" i="1"/>
  <c r="S17" i="1"/>
  <c r="T17" i="1"/>
  <c r="U17" i="1"/>
  <c r="S18" i="1"/>
  <c r="T18" i="1"/>
  <c r="U18" i="1"/>
  <c r="S19" i="1"/>
  <c r="T19" i="1"/>
  <c r="U19" i="1"/>
  <c r="S20" i="1"/>
  <c r="T20" i="1"/>
  <c r="U20" i="1"/>
  <c r="S21" i="1"/>
  <c r="T21" i="1"/>
  <c r="U21" i="1"/>
  <c r="S22" i="1"/>
  <c r="T22" i="1"/>
  <c r="U22" i="1"/>
  <c r="S23" i="1"/>
  <c r="T23" i="1"/>
  <c r="U23" i="1"/>
  <c r="S24" i="1"/>
  <c r="T24" i="1"/>
  <c r="U24" i="1"/>
  <c r="S25" i="1"/>
  <c r="T25" i="1"/>
  <c r="U25" i="1"/>
  <c r="S26" i="1"/>
  <c r="T26" i="1"/>
  <c r="U26" i="1"/>
  <c r="S27" i="1"/>
  <c r="T27" i="1"/>
  <c r="U27" i="1"/>
  <c r="S28" i="1"/>
  <c r="T28" i="1"/>
  <c r="U28" i="1"/>
  <c r="S29" i="1"/>
  <c r="T29" i="1"/>
  <c r="U29" i="1"/>
  <c r="S30" i="1"/>
  <c r="T30" i="1"/>
  <c r="U30" i="1"/>
  <c r="S31" i="1"/>
  <c r="T31" i="1"/>
  <c r="U31" i="1"/>
  <c r="S32" i="1"/>
  <c r="T32" i="1"/>
  <c r="U32" i="1"/>
  <c r="S33" i="1"/>
  <c r="T33" i="1"/>
  <c r="U33" i="1"/>
  <c r="S34" i="1"/>
  <c r="T34" i="1"/>
  <c r="U34" i="1"/>
  <c r="S35" i="1"/>
  <c r="T35" i="1"/>
  <c r="U35" i="1"/>
  <c r="S36" i="1"/>
  <c r="T36" i="1"/>
  <c r="U36" i="1"/>
  <c r="S37" i="1"/>
  <c r="T37" i="1"/>
  <c r="U37" i="1"/>
  <c r="S38" i="1"/>
  <c r="T38" i="1"/>
  <c r="U38" i="1"/>
  <c r="S39" i="1"/>
  <c r="T39" i="1"/>
  <c r="U39" i="1"/>
  <c r="S40" i="1"/>
  <c r="T40" i="1"/>
  <c r="U40" i="1"/>
  <c r="S41" i="1"/>
  <c r="T41" i="1"/>
  <c r="U41" i="1"/>
  <c r="S42" i="1"/>
  <c r="T42" i="1"/>
  <c r="U42" i="1"/>
  <c r="S43" i="1"/>
  <c r="T43" i="1"/>
  <c r="U43" i="1"/>
  <c r="S44" i="1"/>
  <c r="T44" i="1"/>
  <c r="U44" i="1"/>
  <c r="S45" i="1"/>
  <c r="T45" i="1"/>
  <c r="U45" i="1"/>
  <c r="S46" i="1"/>
  <c r="T46" i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S70" i="1"/>
  <c r="T70" i="1"/>
  <c r="U70" i="1"/>
  <c r="S71" i="1"/>
  <c r="T71" i="1"/>
  <c r="U71" i="1"/>
  <c r="S72" i="1"/>
  <c r="T72" i="1"/>
  <c r="U72" i="1"/>
  <c r="S73" i="1"/>
  <c r="T73" i="1"/>
  <c r="U73" i="1"/>
  <c r="S74" i="1"/>
  <c r="T74" i="1"/>
  <c r="U74" i="1"/>
  <c r="S75" i="1"/>
  <c r="T75" i="1"/>
  <c r="U75" i="1"/>
  <c r="S76" i="1"/>
  <c r="T76" i="1"/>
  <c r="U76" i="1"/>
  <c r="S77" i="1"/>
  <c r="T77" i="1"/>
  <c r="U77" i="1"/>
  <c r="S78" i="1"/>
  <c r="T78" i="1"/>
  <c r="U78" i="1"/>
  <c r="S79" i="1"/>
  <c r="T79" i="1"/>
  <c r="U79" i="1"/>
  <c r="S80" i="1"/>
  <c r="T80" i="1"/>
  <c r="U80" i="1"/>
  <c r="S81" i="1"/>
  <c r="T81" i="1"/>
  <c r="U81" i="1"/>
  <c r="S82" i="1"/>
  <c r="T82" i="1"/>
  <c r="U82" i="1"/>
  <c r="S83" i="1"/>
  <c r="T83" i="1"/>
  <c r="U83" i="1"/>
  <c r="S84" i="1"/>
  <c r="T84" i="1"/>
  <c r="U84" i="1"/>
  <c r="S85" i="1"/>
  <c r="T85" i="1"/>
  <c r="U85" i="1"/>
  <c r="S86" i="1"/>
  <c r="T86" i="1"/>
  <c r="U86" i="1"/>
  <c r="S87" i="1"/>
  <c r="T87" i="1"/>
  <c r="U87" i="1"/>
  <c r="S88" i="1"/>
  <c r="T88" i="1"/>
  <c r="U88" i="1"/>
  <c r="S89" i="1"/>
  <c r="T89" i="1"/>
  <c r="U89" i="1"/>
  <c r="S90" i="1"/>
  <c r="T90" i="1"/>
  <c r="U90" i="1"/>
  <c r="S91" i="1"/>
  <c r="T91" i="1"/>
  <c r="U91" i="1"/>
  <c r="S92" i="1"/>
  <c r="T92" i="1"/>
  <c r="U92" i="1"/>
  <c r="S93" i="1"/>
  <c r="T93" i="1"/>
  <c r="U93" i="1"/>
  <c r="S94" i="1"/>
  <c r="T94" i="1"/>
  <c r="U94" i="1"/>
  <c r="S95" i="1"/>
  <c r="T95" i="1"/>
  <c r="U95" i="1"/>
  <c r="S96" i="1"/>
  <c r="T96" i="1"/>
  <c r="U96" i="1"/>
  <c r="S97" i="1"/>
  <c r="T97" i="1"/>
  <c r="U97" i="1"/>
  <c r="S98" i="1"/>
  <c r="T98" i="1"/>
  <c r="U98" i="1"/>
  <c r="S99" i="1"/>
  <c r="T99" i="1"/>
  <c r="U99" i="1"/>
  <c r="S100" i="1"/>
  <c r="T100" i="1"/>
  <c r="U100" i="1"/>
  <c r="S101" i="1"/>
  <c r="T101" i="1"/>
  <c r="U101" i="1"/>
  <c r="S102" i="1"/>
  <c r="T102" i="1"/>
  <c r="U102" i="1"/>
  <c r="S103" i="1"/>
  <c r="T103" i="1"/>
  <c r="U103" i="1"/>
  <c r="S104" i="1"/>
  <c r="T104" i="1"/>
  <c r="U104" i="1"/>
  <c r="S105" i="1"/>
  <c r="T105" i="1"/>
  <c r="U105" i="1"/>
  <c r="S106" i="1"/>
  <c r="T106" i="1"/>
  <c r="U106" i="1"/>
  <c r="S108" i="1"/>
  <c r="T108" i="1"/>
  <c r="U108" i="1"/>
  <c r="T7" i="1"/>
  <c r="U7" i="1"/>
  <c r="S7" i="1"/>
  <c r="P108" i="1"/>
  <c r="Q108" i="1"/>
  <c r="O108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P7" i="1"/>
  <c r="Q7" i="1"/>
  <c r="O7" i="1"/>
  <c r="M108" i="1" l="1"/>
  <c r="L108" i="1"/>
  <c r="K108" i="1"/>
</calcChain>
</file>

<file path=xl/sharedStrings.xml><?xml version="1.0" encoding="utf-8"?>
<sst xmlns="http://schemas.openxmlformats.org/spreadsheetml/2006/main" count="613" uniqueCount="137">
  <si>
    <t>Assumptions</t>
  </si>
  <si>
    <t>U.S. Department of Energy, The Energy Information Administration (EIA)</t>
  </si>
  <si>
    <t>Monthly Nuclear Utility Generation (MWh) by State and Reactor, 2018 December</t>
  </si>
  <si>
    <t>Sources: EIA-923 and EIA-860 Reports</t>
  </si>
  <si>
    <t/>
  </si>
  <si>
    <t>MWh</t>
  </si>
  <si>
    <t>Current Capacity (MWe)</t>
  </si>
  <si>
    <t>% of Summer Capacity</t>
  </si>
  <si>
    <t>State</t>
  </si>
  <si>
    <t>Plant ID</t>
  </si>
  <si>
    <t>Plant Name</t>
  </si>
  <si>
    <t>Unit ID</t>
  </si>
  <si>
    <t>2018 Year_to_Date</t>
  </si>
  <si>
    <t>Nameplate</t>
  </si>
  <si>
    <t>Summer</t>
  </si>
  <si>
    <t>Utilization Factor</t>
  </si>
  <si>
    <t>Status</t>
  </si>
  <si>
    <t>Closing</t>
  </si>
  <si>
    <t>2020 MWh</t>
  </si>
  <si>
    <t>2025 MWh</t>
  </si>
  <si>
    <t>2030 MWh</t>
  </si>
  <si>
    <t>MA</t>
  </si>
  <si>
    <t>Pilgrim Nuclear Power Station</t>
  </si>
  <si>
    <t>Already retired</t>
  </si>
  <si>
    <t>NJ</t>
  </si>
  <si>
    <t>Oyster Creek</t>
  </si>
  <si>
    <t>.</t>
  </si>
  <si>
    <t>CA</t>
  </si>
  <si>
    <t>Diablo Canyon</t>
  </si>
  <si>
    <t>PA</t>
  </si>
  <si>
    <t>Three Mile Island</t>
  </si>
  <si>
    <t>IA</t>
  </si>
  <si>
    <t>Duane Arnold Energy Center</t>
  </si>
  <si>
    <t>NY</t>
  </si>
  <si>
    <t>Indian Point 2</t>
  </si>
  <si>
    <t>Indian Point 3</t>
  </si>
  <si>
    <t>OH</t>
  </si>
  <si>
    <t>Perry</t>
  </si>
  <si>
    <t>Davis Besse</t>
  </si>
  <si>
    <t>Beaver Valley</t>
  </si>
  <si>
    <t>MI</t>
  </si>
  <si>
    <t>Palisades</t>
  </si>
  <si>
    <t>CT</t>
  </si>
  <si>
    <t>Millstone</t>
  </si>
  <si>
    <t>Saved by state policy</t>
  </si>
  <si>
    <t>IL</t>
  </si>
  <si>
    <t>Clinton Power Station</t>
  </si>
  <si>
    <t>Quad Cities Generating Station</t>
  </si>
  <si>
    <t>PSEG Salem Generating Station</t>
  </si>
  <si>
    <t>PSEG Hope Creek Generating Station</t>
  </si>
  <si>
    <t>Nine Mile Point Nuclear Station</t>
  </si>
  <si>
    <t>James A Fitzpatrick</t>
  </si>
  <si>
    <t>R E Ginna Nuclear Power Plant</t>
  </si>
  <si>
    <t>Georgia Vogtle</t>
  </si>
  <si>
    <t>1 &amp; 2</t>
  </si>
  <si>
    <t>Opening</t>
  </si>
  <si>
    <t>AL</t>
  </si>
  <si>
    <t>Browns Ferry</t>
  </si>
  <si>
    <t>Open</t>
  </si>
  <si>
    <t>Joseph M Farley</t>
  </si>
  <si>
    <t>AZ</t>
  </si>
  <si>
    <t>Palo Verde</t>
  </si>
  <si>
    <t>AR</t>
  </si>
  <si>
    <t>Arkansas Nuclear One</t>
  </si>
  <si>
    <t>FL</t>
  </si>
  <si>
    <t>Turkey Point</t>
  </si>
  <si>
    <t>St Lucie</t>
  </si>
  <si>
    <t>GA</t>
  </si>
  <si>
    <t>Vogtle</t>
  </si>
  <si>
    <t>Edwin I Hatch</t>
  </si>
  <si>
    <t>Dresden Generating Station</t>
  </si>
  <si>
    <t>Braidwood Generation Station</t>
  </si>
  <si>
    <t>Byron Generating Station</t>
  </si>
  <si>
    <t>LaSalle Generating Station</t>
  </si>
  <si>
    <t>KS</t>
  </si>
  <si>
    <t>Wolf Creek Generating Station</t>
  </si>
  <si>
    <t>LA</t>
  </si>
  <si>
    <t>Waterford 3</t>
  </si>
  <si>
    <t>River Bend</t>
  </si>
  <si>
    <t>MD</t>
  </si>
  <si>
    <t>Calvert Cliffs Nuclear Power Plant</t>
  </si>
  <si>
    <t>Fermi</t>
  </si>
  <si>
    <t>Donald C Cook</t>
  </si>
  <si>
    <t>MN</t>
  </si>
  <si>
    <t>Monticello Nuclear Facility</t>
  </si>
  <si>
    <t>Prairie Island</t>
  </si>
  <si>
    <t>MS</t>
  </si>
  <si>
    <t>Grand Gulf</t>
  </si>
  <si>
    <t>MO</t>
  </si>
  <si>
    <t>Callaway</t>
  </si>
  <si>
    <t>NC</t>
  </si>
  <si>
    <t>Brunswick Nuclear</t>
  </si>
  <si>
    <t>Harris</t>
  </si>
  <si>
    <t>McGuire</t>
  </si>
  <si>
    <t>NE</t>
  </si>
  <si>
    <t>Cooper Nuclear Station</t>
  </si>
  <si>
    <t>NH</t>
  </si>
  <si>
    <t>Seabrook</t>
  </si>
  <si>
    <t>Peach Bottom</t>
  </si>
  <si>
    <t>TalenEnergy Susquehanna</t>
  </si>
  <si>
    <t>Limerick</t>
  </si>
  <si>
    <t>SC</t>
  </si>
  <si>
    <t>H B Robinson</t>
  </si>
  <si>
    <t>Oconee</t>
  </si>
  <si>
    <t>Catawba</t>
  </si>
  <si>
    <t>V C Summer</t>
  </si>
  <si>
    <t>TN</t>
  </si>
  <si>
    <t>Sequoyah</t>
  </si>
  <si>
    <t>Watts Bar Nuclear Plant</t>
  </si>
  <si>
    <t>TX</t>
  </si>
  <si>
    <t>Comanche Peak</t>
  </si>
  <si>
    <t>South Texas Project</t>
  </si>
  <si>
    <t>VA</t>
  </si>
  <si>
    <t>Surry</t>
  </si>
  <si>
    <t>North Anna</t>
  </si>
  <si>
    <t>WA</t>
  </si>
  <si>
    <t>Columbia Generating Station</t>
  </si>
  <si>
    <t>WI</t>
  </si>
  <si>
    <t>Point Beach Nuclear Plant</t>
  </si>
  <si>
    <t>U.S. Total</t>
  </si>
  <si>
    <t>Between 2020 and 2025, 26,670,299 MWh of generation are lost due to retired capacity in IA, MI, and NY, while all other at-risk capacity is saved by state and federal policy. In addition, Georgia Vogtle Units 3 &amp; 4 come online. No changes to total capacity are assumed to occur between 2025 and 2030.</t>
  </si>
  <si>
    <t>Current measures (TWh)</t>
  </si>
  <si>
    <t>2020 Generation</t>
  </si>
  <si>
    <t>2025 Generation</t>
  </si>
  <si>
    <t>2030 Generation</t>
  </si>
  <si>
    <t>Current measures (EJ)</t>
  </si>
  <si>
    <t>SUMMARY</t>
  </si>
  <si>
    <t>Current Measures (MWh)</t>
  </si>
  <si>
    <t>Current Measures (EJ)</t>
  </si>
  <si>
    <t>Current Measures (TWh)</t>
  </si>
  <si>
    <t>2020 (TWh)</t>
  </si>
  <si>
    <t>2025 (TWh)</t>
  </si>
  <si>
    <t>2030 (TWh)</t>
  </si>
  <si>
    <t>2020 (EJ)</t>
  </si>
  <si>
    <t>2025 (EJ)</t>
  </si>
  <si>
    <t>2030 (EJ)</t>
  </si>
  <si>
    <t>GCAM input (EJ)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</si>
</sst>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7" formatCode="#,##0.0000"/>
    <numFmt numFmtId="171" formatCode="0.0000"/>
    <numFmt numFmtId="172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Lucida Grande"/>
      <family val="2"/>
    </font>
    <font>
      <b/>
      <u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4">
    <xf numFmtId="0" fontId="0" fillId="0" borderId="0" xfId="0"/>
    <xf numFmtId="0" fontId="0" fillId="33" borderId="0" xfId="0" applyFill="1"/>
    <xf numFmtId="0" fontId="20" fillId="34" borderId="0" xfId="0" applyFont="1" applyFill="1" applyAlignment="1">
      <alignment horizontal="left"/>
    </xf>
    <xf numFmtId="0" fontId="19" fillId="35" borderId="10" xfId="0" applyFont="1" applyFill="1" applyBorder="1" applyAlignment="1">
      <alignment horizontal="center" wrapText="1"/>
    </xf>
    <xf numFmtId="3" fontId="19" fillId="35" borderId="10" xfId="0" applyNumberFormat="1" applyFont="1" applyFill="1" applyBorder="1" applyAlignment="1">
      <alignment horizontal="center" wrapText="1"/>
    </xf>
    <xf numFmtId="164" fontId="19" fillId="35" borderId="10" xfId="0" applyNumberFormat="1" applyFont="1" applyFill="1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18" fillId="36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164" fontId="18" fillId="36" borderId="10" xfId="0" applyNumberFormat="1" applyFont="1" applyFill="1" applyBorder="1" applyAlignment="1">
      <alignment horizontal="right" wrapText="1"/>
    </xf>
    <xf numFmtId="0" fontId="18" fillId="37" borderId="10" xfId="0" applyFont="1" applyFill="1" applyBorder="1" applyAlignment="1">
      <alignment horizontal="left" wrapText="1"/>
    </xf>
    <xf numFmtId="0" fontId="18" fillId="37" borderId="10" xfId="0" applyFont="1" applyFill="1" applyBorder="1" applyAlignment="1">
      <alignment horizontal="right" wrapText="1"/>
    </xf>
    <xf numFmtId="3" fontId="18" fillId="37" borderId="10" xfId="0" applyNumberFormat="1" applyFont="1" applyFill="1" applyBorder="1" applyAlignment="1">
      <alignment horizontal="right" wrapText="1"/>
    </xf>
    <xf numFmtId="164" fontId="18" fillId="37" borderId="10" xfId="0" applyNumberFormat="1" applyFont="1" applyFill="1" applyBorder="1" applyAlignment="1">
      <alignment horizontal="right" wrapText="1"/>
    </xf>
    <xf numFmtId="3" fontId="0" fillId="33" borderId="0" xfId="0" applyNumberFormat="1" applyFill="1"/>
    <xf numFmtId="1" fontId="0" fillId="0" borderId="0" xfId="0" applyNumberFormat="1"/>
    <xf numFmtId="1" fontId="21" fillId="0" borderId="0" xfId="0" applyNumberFormat="1" applyFont="1"/>
    <xf numFmtId="0" fontId="21" fillId="0" borderId="0" xfId="0" applyFont="1"/>
    <xf numFmtId="0" fontId="19" fillId="35" borderId="0" xfId="0" applyFont="1" applyFill="1" applyAlignment="1">
      <alignment horizontal="center" wrapText="1"/>
    </xf>
    <xf numFmtId="164" fontId="19" fillId="35" borderId="14" xfId="0" applyNumberFormat="1" applyFont="1" applyFill="1" applyBorder="1" applyAlignment="1">
      <alignment horizontal="center" wrapText="1"/>
    </xf>
    <xf numFmtId="164" fontId="18" fillId="0" borderId="0" xfId="0" applyNumberFormat="1" applyFont="1" applyAlignment="1">
      <alignment horizontal="right" wrapText="1"/>
    </xf>
    <xf numFmtId="164" fontId="18" fillId="37" borderId="0" xfId="0" applyNumberFormat="1" applyFont="1" applyFill="1" applyAlignment="1">
      <alignment horizontal="right" wrapText="1"/>
    </xf>
    <xf numFmtId="164" fontId="18" fillId="36" borderId="0" xfId="0" applyNumberFormat="1" applyFont="1" applyFill="1" applyAlignment="1">
      <alignment horizontal="right" wrapText="1"/>
    </xf>
    <xf numFmtId="0" fontId="23" fillId="35" borderId="12" xfId="0" applyFont="1" applyFill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10" xfId="0" applyFont="1" applyBorder="1" applyAlignment="1">
      <alignment wrapText="1"/>
    </xf>
    <xf numFmtId="0" fontId="24" fillId="0" borderId="0" xfId="0" applyFont="1"/>
    <xf numFmtId="11" fontId="0" fillId="0" borderId="0" xfId="0" applyNumberFormat="1"/>
    <xf numFmtId="11" fontId="24" fillId="0" borderId="0" xfId="0" applyNumberFormat="1" applyFont="1"/>
    <xf numFmtId="0" fontId="16" fillId="0" borderId="10" xfId="0" applyFont="1" applyBorder="1" applyAlignment="1">
      <alignment horizontal="center"/>
    </xf>
    <xf numFmtId="0" fontId="19" fillId="35" borderId="11" xfId="0" applyFont="1" applyFill="1" applyBorder="1" applyAlignment="1">
      <alignment horizontal="center" wrapText="1"/>
    </xf>
    <xf numFmtId="0" fontId="19" fillId="35" borderId="13" xfId="0" applyFont="1" applyFill="1" applyBorder="1" applyAlignment="1">
      <alignment horizontal="center" wrapText="1"/>
    </xf>
    <xf numFmtId="0" fontId="19" fillId="35" borderId="12" xfId="0" applyFont="1" applyFill="1" applyBorder="1" applyAlignment="1">
      <alignment horizontal="center" wrapText="1"/>
    </xf>
    <xf numFmtId="3" fontId="18" fillId="38" borderId="10" xfId="0" applyNumberFormat="1" applyFont="1" applyFill="1" applyBorder="1" applyAlignment="1">
      <alignment horizontal="right" wrapText="1"/>
    </xf>
    <xf numFmtId="0" fontId="18" fillId="38" borderId="10" xfId="0" applyFont="1" applyFill="1" applyBorder="1" applyAlignment="1">
      <alignment horizontal="left" wrapText="1"/>
    </xf>
    <xf numFmtId="0" fontId="18" fillId="38" borderId="10" xfId="0" applyFont="1" applyFill="1" applyBorder="1" applyAlignment="1">
      <alignment horizontal="right" wrapText="1"/>
    </xf>
    <xf numFmtId="0" fontId="22" fillId="38" borderId="10" xfId="0" applyFont="1" applyFill="1" applyBorder="1" applyAlignment="1">
      <alignment horizontal="left" wrapText="1"/>
    </xf>
    <xf numFmtId="164" fontId="18" fillId="38" borderId="10" xfId="0" applyNumberFormat="1" applyFont="1" applyFill="1" applyBorder="1" applyAlignment="1">
      <alignment horizontal="right" wrapText="1"/>
    </xf>
    <xf numFmtId="164" fontId="22" fillId="38" borderId="0" xfId="0" applyNumberFormat="1" applyFont="1" applyFill="1" applyAlignment="1">
      <alignment horizontal="right" wrapText="1"/>
    </xf>
    <xf numFmtId="1" fontId="21" fillId="0" borderId="0" xfId="0" applyNumberFormat="1" applyFont="1" applyBorder="1"/>
    <xf numFmtId="1" fontId="18" fillId="0" borderId="14" xfId="0" applyNumberFormat="1" applyFont="1" applyBorder="1" applyAlignment="1">
      <alignment horizontal="right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/>
    <xf numFmtId="0" fontId="16" fillId="0" borderId="15" xfId="0" applyFont="1" applyBorder="1" applyAlignment="1">
      <alignment wrapText="1"/>
    </xf>
    <xf numFmtId="0" fontId="0" fillId="0" borderId="0" xfId="0" applyBorder="1" applyAlignment="1">
      <alignment wrapText="1"/>
    </xf>
    <xf numFmtId="0" fontId="24" fillId="0" borderId="0" xfId="0" applyFont="1" applyBorder="1"/>
    <xf numFmtId="0" fontId="0" fillId="0" borderId="0" xfId="0" applyBorder="1"/>
    <xf numFmtId="0" fontId="25" fillId="0" borderId="10" xfId="0" applyFont="1" applyBorder="1" applyAlignment="1">
      <alignment wrapText="1"/>
    </xf>
    <xf numFmtId="3" fontId="19" fillId="35" borderId="15" xfId="0" applyNumberFormat="1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3" fontId="0" fillId="33" borderId="10" xfId="0" applyNumberFormat="1" applyFill="1" applyBorder="1"/>
    <xf numFmtId="0" fontId="0" fillId="38" borderId="10" xfId="0" applyFill="1" applyBorder="1"/>
    <xf numFmtId="0" fontId="0" fillId="37" borderId="10" xfId="0" applyFill="1" applyBorder="1"/>
    <xf numFmtId="0" fontId="0" fillId="36" borderId="10" xfId="0" applyFill="1" applyBorder="1"/>
    <xf numFmtId="0" fontId="20" fillId="0" borderId="0" xfId="0" applyFont="1" applyFill="1" applyAlignment="1">
      <alignment horizontal="left"/>
    </xf>
    <xf numFmtId="0" fontId="0" fillId="0" borderId="0" xfId="0" applyFill="1"/>
    <xf numFmtId="0" fontId="18" fillId="0" borderId="10" xfId="0" applyFont="1" applyFill="1" applyBorder="1" applyAlignment="1">
      <alignment horizontal="left" wrapText="1"/>
    </xf>
    <xf numFmtId="0" fontId="16" fillId="0" borderId="0" xfId="0" applyFont="1" applyFill="1"/>
    <xf numFmtId="3" fontId="0" fillId="0" borderId="0" xfId="0" applyNumberFormat="1" applyFill="1"/>
    <xf numFmtId="0" fontId="1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167" fontId="0" fillId="33" borderId="10" xfId="0" applyNumberFormat="1" applyFill="1" applyBorder="1"/>
    <xf numFmtId="1" fontId="0" fillId="0" borderId="10" xfId="0" applyNumberFormat="1" applyBorder="1" applyAlignment="1">
      <alignment wrapText="1"/>
    </xf>
    <xf numFmtId="172" fontId="0" fillId="0" borderId="10" xfId="0" applyNumberFormat="1" applyBorder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8EEE-B192-4C6B-B83E-4E774E5CA8EE}">
  <dimension ref="A1:L38"/>
  <sheetViews>
    <sheetView tabSelected="1" topLeftCell="A2" workbookViewId="0">
      <selection activeCell="H27" sqref="H27"/>
    </sheetView>
  </sheetViews>
  <sheetFormatPr baseColWidth="10" defaultColWidth="8.83203125" defaultRowHeight="15" x14ac:dyDescent="0.2"/>
  <cols>
    <col min="1" max="1" width="13.33203125" customWidth="1"/>
    <col min="2" max="4" width="14.33203125" customWidth="1"/>
  </cols>
  <sheetData>
    <row r="1" spans="1:12" ht="32" x14ac:dyDescent="0.2">
      <c r="A1" s="52" t="s">
        <v>126</v>
      </c>
      <c r="B1" s="30" t="s">
        <v>122</v>
      </c>
      <c r="C1" s="30" t="s">
        <v>123</v>
      </c>
      <c r="D1" s="30" t="s">
        <v>124</v>
      </c>
      <c r="E1" s="34" t="s">
        <v>0</v>
      </c>
      <c r="F1" s="34"/>
      <c r="G1" s="34"/>
      <c r="H1" s="34"/>
      <c r="I1" s="34"/>
      <c r="J1" s="34"/>
      <c r="K1" s="34"/>
      <c r="L1" s="34"/>
    </row>
    <row r="2" spans="1:12" ht="32" customHeight="1" x14ac:dyDescent="0.2">
      <c r="A2" s="30" t="s">
        <v>121</v>
      </c>
      <c r="B2" s="71">
        <f>'Data by plant and state'!O108</f>
        <v>791.76005699999996</v>
      </c>
      <c r="C2" s="71">
        <f>'Data by plant and state'!P108</f>
        <v>782.28975800000001</v>
      </c>
      <c r="D2" s="71">
        <f>'Data by plant and state'!Q108</f>
        <v>782.28975800000001</v>
      </c>
      <c r="E2" s="46" t="s">
        <v>120</v>
      </c>
      <c r="F2" s="46"/>
      <c r="G2" s="46"/>
      <c r="H2" s="46"/>
      <c r="I2" s="46"/>
      <c r="J2" s="46"/>
      <c r="K2" s="46"/>
      <c r="L2" s="46"/>
    </row>
    <row r="3" spans="1:12" ht="32" customHeight="1" x14ac:dyDescent="0.2">
      <c r="A3" s="30" t="s">
        <v>125</v>
      </c>
      <c r="B3" s="72">
        <f>'Data by plant and state'!W108</f>
        <v>2.8503362052000001</v>
      </c>
      <c r="C3" s="72">
        <f>'Data by plant and state'!X108</f>
        <v>2.8162431288000001</v>
      </c>
      <c r="D3" s="72">
        <f>'Data by plant and state'!Y108</f>
        <v>2.8162431288000001</v>
      </c>
      <c r="E3" s="46"/>
      <c r="F3" s="46"/>
      <c r="G3" s="46"/>
      <c r="H3" s="46"/>
      <c r="I3" s="46"/>
      <c r="J3" s="46"/>
      <c r="K3" s="46"/>
      <c r="L3" s="46"/>
    </row>
    <row r="4" spans="1:12" x14ac:dyDescent="0.2">
      <c r="A4" s="48"/>
      <c r="B4" s="49"/>
      <c r="C4" s="49"/>
      <c r="D4" s="49"/>
    </row>
    <row r="5" spans="1:12" x14ac:dyDescent="0.2">
      <c r="A5" s="31"/>
      <c r="B5" s="50"/>
      <c r="C5" s="51"/>
      <c r="D5" s="51"/>
    </row>
    <row r="6" spans="1:12" x14ac:dyDescent="0.2">
      <c r="A6" s="31"/>
      <c r="C6" s="32"/>
    </row>
    <row r="7" spans="1:12" x14ac:dyDescent="0.2">
      <c r="A7" s="31"/>
      <c r="B7" t="s">
        <v>133</v>
      </c>
      <c r="C7" s="32" t="s">
        <v>134</v>
      </c>
      <c r="D7" t="s">
        <v>135</v>
      </c>
      <c r="E7" s="32"/>
    </row>
    <row r="8" spans="1:12" x14ac:dyDescent="0.2">
      <c r="A8" s="33" t="s">
        <v>56</v>
      </c>
      <c r="B8" s="73">
        <v>0.1420661772</v>
      </c>
      <c r="C8" s="73">
        <v>0.1420661772</v>
      </c>
      <c r="D8" s="73">
        <v>0.1420661772</v>
      </c>
      <c r="E8" s="32"/>
    </row>
    <row r="9" spans="1:12" x14ac:dyDescent="0.2">
      <c r="A9" s="31" t="s">
        <v>62</v>
      </c>
      <c r="B9" s="73">
        <v>4.5794944800000001E-2</v>
      </c>
      <c r="C9" s="73">
        <v>4.5794944800000001E-2</v>
      </c>
      <c r="D9" s="73">
        <v>4.5794944800000001E-2</v>
      </c>
    </row>
    <row r="10" spans="1:12" x14ac:dyDescent="0.2">
      <c r="A10" s="31" t="s">
        <v>60</v>
      </c>
      <c r="B10" s="73">
        <v>0.1119501324</v>
      </c>
      <c r="C10" s="73">
        <v>0.1119501324</v>
      </c>
      <c r="D10" s="73">
        <v>0.1119501324</v>
      </c>
      <c r="E10" s="32"/>
    </row>
    <row r="11" spans="1:12" x14ac:dyDescent="0.2">
      <c r="A11" s="33" t="s">
        <v>27</v>
      </c>
      <c r="B11" s="73">
        <v>6.5568668400000002E-2</v>
      </c>
      <c r="C11" s="73">
        <v>6.5568668400000002E-2</v>
      </c>
      <c r="D11" s="73">
        <v>6.5568668400000002E-2</v>
      </c>
    </row>
    <row r="12" spans="1:12" x14ac:dyDescent="0.2">
      <c r="A12" s="31" t="s">
        <v>42</v>
      </c>
      <c r="B12" s="73">
        <v>6.0773371199999995E-2</v>
      </c>
      <c r="C12" s="73">
        <v>6.0773371199999995E-2</v>
      </c>
      <c r="D12" s="73">
        <v>6.0773371199999995E-2</v>
      </c>
    </row>
    <row r="13" spans="1:12" x14ac:dyDescent="0.2">
      <c r="A13" s="31" t="s">
        <v>64</v>
      </c>
      <c r="B13" s="73">
        <v>0.10552445639999999</v>
      </c>
      <c r="C13" s="73">
        <v>0.10552445639999999</v>
      </c>
      <c r="D13" s="73">
        <v>0.10552445639999999</v>
      </c>
    </row>
    <row r="14" spans="1:12" x14ac:dyDescent="0.2">
      <c r="A14" s="33" t="s">
        <v>67</v>
      </c>
      <c r="B14" s="73">
        <v>0.1237056336</v>
      </c>
      <c r="C14" s="73">
        <v>0.18562563359999998</v>
      </c>
      <c r="D14" s="73">
        <v>0.18562563359999998</v>
      </c>
    </row>
    <row r="15" spans="1:12" x14ac:dyDescent="0.2">
      <c r="A15" s="31" t="s">
        <v>31</v>
      </c>
      <c r="B15" s="73">
        <v>1.7623436400000001E-2</v>
      </c>
      <c r="C15" s="73">
        <v>0</v>
      </c>
      <c r="D15" s="73">
        <v>0</v>
      </c>
      <c r="E15" s="32"/>
    </row>
    <row r="16" spans="1:12" x14ac:dyDescent="0.2">
      <c r="A16" s="33" t="s">
        <v>45</v>
      </c>
      <c r="B16" s="73">
        <v>0.35316549720000001</v>
      </c>
      <c r="C16" s="73">
        <v>0.35316549720000001</v>
      </c>
      <c r="D16" s="73">
        <v>0.35316549720000001</v>
      </c>
      <c r="E16" s="32"/>
    </row>
    <row r="17" spans="1:4" x14ac:dyDescent="0.2">
      <c r="A17" t="s">
        <v>74</v>
      </c>
      <c r="B17" s="73">
        <v>3.30058404E-2</v>
      </c>
      <c r="C17" s="73">
        <v>3.30058404E-2</v>
      </c>
      <c r="D17" s="73">
        <v>3.30058404E-2</v>
      </c>
    </row>
    <row r="18" spans="1:4" x14ac:dyDescent="0.2">
      <c r="A18" t="s">
        <v>76</v>
      </c>
      <c r="B18" s="73">
        <v>6.1749295199999998E-2</v>
      </c>
      <c r="C18" s="73">
        <v>6.1749295199999998E-2</v>
      </c>
      <c r="D18" s="73">
        <v>6.1749295199999998E-2</v>
      </c>
    </row>
    <row r="19" spans="1:4" x14ac:dyDescent="0.2">
      <c r="A19" t="s">
        <v>21</v>
      </c>
      <c r="B19" s="73">
        <v>0</v>
      </c>
      <c r="C19" s="73">
        <v>0</v>
      </c>
      <c r="D19" s="73">
        <v>0</v>
      </c>
    </row>
    <row r="20" spans="1:4" x14ac:dyDescent="0.2">
      <c r="A20" t="s">
        <v>79</v>
      </c>
      <c r="B20" s="73">
        <v>5.39565516E-2</v>
      </c>
      <c r="C20" s="73">
        <v>5.39565516E-2</v>
      </c>
      <c r="D20" s="73">
        <v>5.39565516E-2</v>
      </c>
    </row>
    <row r="21" spans="1:4" x14ac:dyDescent="0.2">
      <c r="A21" t="s">
        <v>40</v>
      </c>
      <c r="B21" s="73">
        <v>0.1097232984</v>
      </c>
      <c r="C21" s="73">
        <v>9.0081914399999991E-2</v>
      </c>
      <c r="D21" s="73">
        <v>9.0081914399999991E-2</v>
      </c>
    </row>
    <row r="22" spans="1:4" x14ac:dyDescent="0.2">
      <c r="A22" t="s">
        <v>83</v>
      </c>
      <c r="B22" s="73">
        <v>5.2564784399999995E-2</v>
      </c>
      <c r="C22" s="73">
        <v>5.2564784399999995E-2</v>
      </c>
      <c r="D22" s="73">
        <v>5.2564784399999995E-2</v>
      </c>
    </row>
    <row r="23" spans="1:4" x14ac:dyDescent="0.2">
      <c r="A23" t="s">
        <v>88</v>
      </c>
      <c r="B23" s="73">
        <v>3.8359004400000001E-2</v>
      </c>
      <c r="C23" s="73">
        <v>3.8359004400000001E-2</v>
      </c>
      <c r="D23" s="73">
        <v>3.8359004400000001E-2</v>
      </c>
    </row>
    <row r="24" spans="1:4" x14ac:dyDescent="0.2">
      <c r="A24" t="s">
        <v>86</v>
      </c>
      <c r="B24" s="73">
        <v>2.4910091999999998E-2</v>
      </c>
      <c r="C24" s="73">
        <v>2.4910091999999998E-2</v>
      </c>
      <c r="D24" s="73">
        <v>2.4910091999999998E-2</v>
      </c>
    </row>
    <row r="25" spans="1:4" x14ac:dyDescent="0.2">
      <c r="A25" t="s">
        <v>90</v>
      </c>
      <c r="B25" s="73">
        <v>0.1514770164</v>
      </c>
      <c r="C25" s="73">
        <v>0.1514770164</v>
      </c>
      <c r="D25" s="73">
        <v>0.1514770164</v>
      </c>
    </row>
    <row r="26" spans="1:4" x14ac:dyDescent="0.2">
      <c r="A26" t="s">
        <v>94</v>
      </c>
      <c r="B26" s="73">
        <v>2.0275703999999999E-2</v>
      </c>
      <c r="C26" s="73">
        <v>2.0275703999999999E-2</v>
      </c>
      <c r="D26" s="73">
        <v>2.0275703999999999E-2</v>
      </c>
    </row>
    <row r="27" spans="1:4" x14ac:dyDescent="0.2">
      <c r="A27" t="s">
        <v>96</v>
      </c>
      <c r="B27" s="73">
        <v>3.6222105599999999E-2</v>
      </c>
      <c r="C27" s="73">
        <v>3.6222105599999999E-2</v>
      </c>
      <c r="D27" s="73">
        <v>3.6222105599999999E-2</v>
      </c>
    </row>
    <row r="28" spans="1:4" x14ac:dyDescent="0.2">
      <c r="A28" t="s">
        <v>24</v>
      </c>
      <c r="B28" s="73">
        <v>0.10239044760000002</v>
      </c>
      <c r="C28" s="73">
        <v>0.10239044760000002</v>
      </c>
      <c r="D28" s="73">
        <v>0.10239044760000002</v>
      </c>
    </row>
    <row r="29" spans="1:4" x14ac:dyDescent="0.2">
      <c r="A29" t="s">
        <v>33</v>
      </c>
      <c r="B29" s="73">
        <v>0.15450843959999999</v>
      </c>
      <c r="C29" s="73">
        <v>9.5760183599999993E-2</v>
      </c>
      <c r="D29" s="73">
        <v>9.5760183599999993E-2</v>
      </c>
    </row>
    <row r="30" spans="1:4" x14ac:dyDescent="0.2">
      <c r="A30" t="s">
        <v>36</v>
      </c>
      <c r="B30" s="73">
        <v>6.5934025199999996E-2</v>
      </c>
      <c r="C30" s="73">
        <v>6.5934025199999996E-2</v>
      </c>
      <c r="D30" s="73">
        <v>6.5934025199999996E-2</v>
      </c>
    </row>
    <row r="31" spans="1:4" x14ac:dyDescent="0.2">
      <c r="A31" t="s">
        <v>29</v>
      </c>
      <c r="B31" s="73">
        <v>0.2740831272</v>
      </c>
      <c r="C31" s="73">
        <v>0.2740831272</v>
      </c>
      <c r="D31" s="73">
        <v>0.2740831272</v>
      </c>
    </row>
    <row r="32" spans="1:4" x14ac:dyDescent="0.2">
      <c r="A32" t="s">
        <v>101</v>
      </c>
      <c r="B32" s="73">
        <v>0.1897792884</v>
      </c>
      <c r="C32" s="73">
        <v>0.1897792884</v>
      </c>
      <c r="D32" s="73">
        <v>0.1897792884</v>
      </c>
    </row>
    <row r="33" spans="1:4" x14ac:dyDescent="0.2">
      <c r="A33" t="s">
        <v>106</v>
      </c>
      <c r="B33" s="73">
        <v>0.13023497519999999</v>
      </c>
      <c r="C33" s="73">
        <v>0.13023497519999999</v>
      </c>
      <c r="D33" s="73">
        <v>0.13023497519999999</v>
      </c>
    </row>
    <row r="34" spans="1:4" x14ac:dyDescent="0.2">
      <c r="A34" t="s">
        <v>109</v>
      </c>
      <c r="B34" s="73">
        <v>0.1482686604</v>
      </c>
      <c r="C34" s="73">
        <v>0.1482686604</v>
      </c>
      <c r="D34" s="73">
        <v>0.1482686604</v>
      </c>
    </row>
    <row r="35" spans="1:4" x14ac:dyDescent="0.2">
      <c r="A35" t="s">
        <v>112</v>
      </c>
      <c r="B35" s="73">
        <v>0.10530600479999999</v>
      </c>
      <c r="C35" s="73">
        <v>0.10530600479999999</v>
      </c>
      <c r="D35" s="73">
        <v>0.10530600479999999</v>
      </c>
    </row>
    <row r="36" spans="1:4" x14ac:dyDescent="0.2">
      <c r="A36" t="s">
        <v>115</v>
      </c>
      <c r="B36" s="73">
        <v>3.49503876E-2</v>
      </c>
      <c r="C36" s="73">
        <v>3.49503876E-2</v>
      </c>
      <c r="D36" s="73">
        <v>3.49503876E-2</v>
      </c>
    </row>
    <row r="37" spans="1:4" x14ac:dyDescent="0.2">
      <c r="A37" t="s">
        <v>117</v>
      </c>
      <c r="B37" s="73">
        <v>3.6464839200000002E-2</v>
      </c>
      <c r="C37" s="73">
        <v>3.6464839200000002E-2</v>
      </c>
      <c r="D37" s="73">
        <v>3.6464839200000002E-2</v>
      </c>
    </row>
    <row r="38" spans="1:4" x14ac:dyDescent="0.2">
      <c r="B38" s="73"/>
      <c r="C38" s="73"/>
      <c r="D38" s="73"/>
    </row>
  </sheetData>
  <mergeCells count="2">
    <mergeCell ref="E1:L1"/>
    <mergeCell ref="E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4"/>
  <sheetViews>
    <sheetView topLeftCell="I1" zoomScale="109" workbookViewId="0">
      <pane ySplit="6" topLeftCell="A100" activePane="bottomLeft" state="frozen"/>
      <selection pane="bottomLeft" activeCell="V6" sqref="V6:Y105"/>
    </sheetView>
  </sheetViews>
  <sheetFormatPr baseColWidth="10" defaultColWidth="9.1640625" defaultRowHeight="15" x14ac:dyDescent="0.2"/>
  <cols>
    <col min="1" max="1" width="9.5" style="1" customWidth="1"/>
    <col min="2" max="2" width="10.33203125" style="1" bestFit="1" customWidth="1"/>
    <col min="3" max="3" width="27.5" style="1" customWidth="1"/>
    <col min="4" max="4" width="10.33203125" style="1" bestFit="1" customWidth="1"/>
    <col min="5" max="5" width="18.33203125" style="1" customWidth="1"/>
    <col min="6" max="6" width="12.5" style="1" customWidth="1"/>
    <col min="7" max="8" width="22.33203125" style="1" bestFit="1" customWidth="1"/>
    <col min="9" max="9" width="21.5" style="1" customWidth="1"/>
    <col min="10" max="10" width="12.1640625" bestFit="1" customWidth="1"/>
    <col min="11" max="11" width="13.5" style="1" customWidth="1"/>
    <col min="12" max="13" width="11.33203125" style="1" bestFit="1" customWidth="1"/>
    <col min="14" max="14" width="10.1640625" style="64" customWidth="1"/>
    <col min="15" max="17" width="11.33203125" style="1" customWidth="1"/>
    <col min="18" max="18" width="9.1640625" style="64"/>
    <col min="19" max="21" width="11.33203125" style="1" customWidth="1"/>
    <col min="22" max="22" width="9.1640625" style="64"/>
    <col min="23" max="16384" width="9.1640625" style="1"/>
  </cols>
  <sheetData>
    <row r="1" spans="1:25" s="2" customFormat="1" ht="16" customHeight="1" x14ac:dyDescent="0.2">
      <c r="A1" s="2" t="s">
        <v>1</v>
      </c>
      <c r="N1" s="63"/>
      <c r="R1" s="63"/>
      <c r="V1" s="63"/>
    </row>
    <row r="2" spans="1:25" s="2" customFormat="1" ht="16" customHeight="1" x14ac:dyDescent="0.2">
      <c r="A2" s="2" t="s">
        <v>2</v>
      </c>
      <c r="N2" s="63"/>
      <c r="R2" s="63"/>
      <c r="V2" s="63"/>
    </row>
    <row r="3" spans="1:25" s="2" customFormat="1" ht="16" customHeight="1" x14ac:dyDescent="0.2">
      <c r="A3" s="2" t="s">
        <v>3</v>
      </c>
      <c r="N3" s="63"/>
      <c r="R3" s="63"/>
      <c r="V3" s="63"/>
    </row>
    <row r="4" spans="1:25" ht="16" customHeight="1" x14ac:dyDescent="0.2"/>
    <row r="5" spans="1:25" x14ac:dyDescent="0.2">
      <c r="A5" s="35" t="s">
        <v>4</v>
      </c>
      <c r="B5" s="36"/>
      <c r="C5" s="36"/>
      <c r="D5" s="37"/>
      <c r="E5" s="27" t="s">
        <v>5</v>
      </c>
      <c r="F5" s="35" t="s">
        <v>6</v>
      </c>
      <c r="G5" s="37"/>
      <c r="H5" s="3" t="s">
        <v>7</v>
      </c>
      <c r="I5" s="22"/>
      <c r="K5" s="54" t="s">
        <v>127</v>
      </c>
      <c r="L5" s="54"/>
      <c r="M5" s="54"/>
      <c r="N5" s="66"/>
      <c r="O5" s="56" t="s">
        <v>129</v>
      </c>
      <c r="P5" s="57"/>
      <c r="Q5" s="58"/>
      <c r="S5" s="56" t="s">
        <v>128</v>
      </c>
      <c r="T5" s="57"/>
      <c r="U5" s="58"/>
      <c r="W5" s="54" t="s">
        <v>136</v>
      </c>
      <c r="X5" s="54"/>
      <c r="Y5" s="54"/>
    </row>
    <row r="6" spans="1:25" ht="18.75" customHeight="1" x14ac:dyDescent="0.2">
      <c r="A6" s="3" t="s">
        <v>8</v>
      </c>
      <c r="B6" s="3" t="s">
        <v>9</v>
      </c>
      <c r="C6" s="3" t="s">
        <v>10</v>
      </c>
      <c r="D6" s="3" t="s">
        <v>11</v>
      </c>
      <c r="E6" s="4" t="s">
        <v>12</v>
      </c>
      <c r="F6" s="4" t="s">
        <v>13</v>
      </c>
      <c r="G6" s="4" t="s">
        <v>14</v>
      </c>
      <c r="H6" s="5" t="s">
        <v>15</v>
      </c>
      <c r="I6" s="23" t="s">
        <v>16</v>
      </c>
      <c r="J6" s="53" t="s">
        <v>17</v>
      </c>
      <c r="K6" s="55" t="s">
        <v>18</v>
      </c>
      <c r="L6" s="55" t="s">
        <v>19</v>
      </c>
      <c r="M6" s="55" t="s">
        <v>20</v>
      </c>
      <c r="N6" s="66"/>
      <c r="O6" s="55" t="s">
        <v>130</v>
      </c>
      <c r="P6" s="55" t="s">
        <v>131</v>
      </c>
      <c r="Q6" s="55" t="s">
        <v>132</v>
      </c>
      <c r="S6" s="55" t="s">
        <v>133</v>
      </c>
      <c r="T6" s="55" t="s">
        <v>134</v>
      </c>
      <c r="U6" s="55" t="s">
        <v>135</v>
      </c>
      <c r="W6" s="55" t="s">
        <v>133</v>
      </c>
      <c r="X6" s="55" t="s">
        <v>134</v>
      </c>
      <c r="Y6" s="55" t="s">
        <v>135</v>
      </c>
    </row>
    <row r="7" spans="1:25" customFormat="1" x14ac:dyDescent="0.2">
      <c r="A7" s="6" t="s">
        <v>56</v>
      </c>
      <c r="B7" s="7">
        <v>46</v>
      </c>
      <c r="C7" s="6" t="s">
        <v>57</v>
      </c>
      <c r="D7" s="6">
        <v>1</v>
      </c>
      <c r="E7" s="8">
        <v>7841125</v>
      </c>
      <c r="F7" s="8">
        <v>1152</v>
      </c>
      <c r="G7" s="8">
        <v>1256</v>
      </c>
      <c r="H7" s="9">
        <v>71.3</v>
      </c>
      <c r="I7" s="24" t="s">
        <v>58</v>
      </c>
      <c r="J7" s="19"/>
      <c r="K7" s="8">
        <v>7841125</v>
      </c>
      <c r="L7" s="8">
        <v>7841125</v>
      </c>
      <c r="M7" s="8">
        <v>7841125</v>
      </c>
      <c r="N7" s="65" t="s">
        <v>56</v>
      </c>
      <c r="O7" s="47">
        <f>K7/1000000</f>
        <v>7.8411249999999999</v>
      </c>
      <c r="P7" s="47">
        <f t="shared" ref="P7:Q7" si="0">L7/1000000</f>
        <v>7.8411249999999999</v>
      </c>
      <c r="Q7" s="47">
        <f t="shared" si="0"/>
        <v>7.8411249999999999</v>
      </c>
      <c r="R7" s="65" t="s">
        <v>56</v>
      </c>
      <c r="S7" s="47">
        <f>O7*0.0036</f>
        <v>2.8228049999999998E-2</v>
      </c>
      <c r="T7" s="47">
        <f t="shared" ref="T7:U7" si="1">P7*0.0036</f>
        <v>2.8228049999999998E-2</v>
      </c>
      <c r="U7" s="47">
        <f t="shared" si="1"/>
        <v>2.8228049999999998E-2</v>
      </c>
      <c r="V7" s="65" t="s">
        <v>56</v>
      </c>
      <c r="W7">
        <f>SUM(S7:S11)</f>
        <v>0.1420661772</v>
      </c>
      <c r="X7">
        <f t="shared" ref="X7:Y7" si="2">SUM(T7:T11)</f>
        <v>0.1420661772</v>
      </c>
      <c r="Y7">
        <f t="shared" si="2"/>
        <v>0.1420661772</v>
      </c>
    </row>
    <row r="8" spans="1:25" customFormat="1" x14ac:dyDescent="0.2">
      <c r="A8" s="6" t="s">
        <v>56</v>
      </c>
      <c r="B8" s="7">
        <v>46</v>
      </c>
      <c r="C8" s="6" t="s">
        <v>57</v>
      </c>
      <c r="D8" s="6">
        <v>2</v>
      </c>
      <c r="E8" s="8">
        <v>9457539</v>
      </c>
      <c r="F8" s="8">
        <v>1152</v>
      </c>
      <c r="G8" s="8">
        <v>1104</v>
      </c>
      <c r="H8" s="9">
        <v>97.8</v>
      </c>
      <c r="I8" s="24" t="s">
        <v>58</v>
      </c>
      <c r="J8" s="19"/>
      <c r="K8" s="8">
        <v>9457539</v>
      </c>
      <c r="L8" s="8">
        <v>9457539</v>
      </c>
      <c r="M8" s="8">
        <v>9457539</v>
      </c>
      <c r="N8" s="65" t="s">
        <v>56</v>
      </c>
      <c r="O8" s="47">
        <f t="shared" ref="O8:O25" si="3">K8/1000000</f>
        <v>9.4575390000000006</v>
      </c>
      <c r="P8" s="47">
        <f t="shared" ref="P8:P26" si="4">L8/1000000</f>
        <v>9.4575390000000006</v>
      </c>
      <c r="Q8" s="47">
        <f t="shared" ref="Q8:Q26" si="5">M8/1000000</f>
        <v>9.4575390000000006</v>
      </c>
      <c r="R8" s="65" t="s">
        <v>56</v>
      </c>
      <c r="S8" s="47">
        <f t="shared" ref="S8:S71" si="6">O8*0.0036</f>
        <v>3.4047140400000002E-2</v>
      </c>
      <c r="T8" s="47">
        <f t="shared" ref="T8:T71" si="7">P8*0.0036</f>
        <v>3.4047140400000002E-2</v>
      </c>
      <c r="U8" s="47">
        <f t="shared" ref="U8:U71" si="8">Q8*0.0036</f>
        <v>3.4047140400000002E-2</v>
      </c>
      <c r="V8" s="65"/>
    </row>
    <row r="9" spans="1:25" customFormat="1" x14ac:dyDescent="0.2">
      <c r="A9" s="6" t="s">
        <v>56</v>
      </c>
      <c r="B9" s="7">
        <v>46</v>
      </c>
      <c r="C9" s="6" t="s">
        <v>57</v>
      </c>
      <c r="D9" s="6">
        <v>3</v>
      </c>
      <c r="E9" s="8">
        <v>8099117</v>
      </c>
      <c r="F9" s="8">
        <v>1190</v>
      </c>
      <c r="G9" s="8">
        <v>1260</v>
      </c>
      <c r="H9" s="9">
        <v>73.400000000000006</v>
      </c>
      <c r="I9" s="24" t="s">
        <v>58</v>
      </c>
      <c r="J9" s="19"/>
      <c r="K9" s="8">
        <v>8099117</v>
      </c>
      <c r="L9" s="8">
        <v>8099117</v>
      </c>
      <c r="M9" s="8">
        <v>8099117</v>
      </c>
      <c r="N9" s="65" t="s">
        <v>56</v>
      </c>
      <c r="O9" s="47">
        <f t="shared" si="3"/>
        <v>8.0991169999999997</v>
      </c>
      <c r="P9" s="47">
        <f t="shared" si="4"/>
        <v>8.0991169999999997</v>
      </c>
      <c r="Q9" s="47">
        <f t="shared" si="5"/>
        <v>8.0991169999999997</v>
      </c>
      <c r="R9" s="65" t="s">
        <v>56</v>
      </c>
      <c r="S9" s="47">
        <f t="shared" si="6"/>
        <v>2.9156821199999999E-2</v>
      </c>
      <c r="T9" s="47">
        <f t="shared" si="7"/>
        <v>2.9156821199999999E-2</v>
      </c>
      <c r="U9" s="47">
        <f t="shared" si="8"/>
        <v>2.9156821199999999E-2</v>
      </c>
      <c r="V9" s="65"/>
    </row>
    <row r="10" spans="1:25" customFormat="1" x14ac:dyDescent="0.2">
      <c r="A10" s="6" t="s">
        <v>56</v>
      </c>
      <c r="B10" s="7">
        <v>6001</v>
      </c>
      <c r="C10" s="6" t="s">
        <v>59</v>
      </c>
      <c r="D10" s="6">
        <v>1</v>
      </c>
      <c r="E10" s="8">
        <v>6409664</v>
      </c>
      <c r="F10" s="8">
        <v>888</v>
      </c>
      <c r="G10" s="8">
        <v>874</v>
      </c>
      <c r="H10" s="9">
        <v>83.7</v>
      </c>
      <c r="I10" s="24" t="s">
        <v>58</v>
      </c>
      <c r="J10" s="19"/>
      <c r="K10" s="8">
        <v>6409664</v>
      </c>
      <c r="L10" s="8">
        <v>6409664</v>
      </c>
      <c r="M10" s="8">
        <v>6409664</v>
      </c>
      <c r="N10" s="65" t="s">
        <v>56</v>
      </c>
      <c r="O10" s="47">
        <f t="shared" si="3"/>
        <v>6.4096640000000003</v>
      </c>
      <c r="P10" s="47">
        <f t="shared" si="4"/>
        <v>6.4096640000000003</v>
      </c>
      <c r="Q10" s="47">
        <f t="shared" si="5"/>
        <v>6.4096640000000003</v>
      </c>
      <c r="R10" s="65" t="s">
        <v>56</v>
      </c>
      <c r="S10" s="47">
        <f t="shared" si="6"/>
        <v>2.30747904E-2</v>
      </c>
      <c r="T10" s="47">
        <f t="shared" si="7"/>
        <v>2.30747904E-2</v>
      </c>
      <c r="U10" s="47">
        <f t="shared" si="8"/>
        <v>2.30747904E-2</v>
      </c>
      <c r="V10" s="65"/>
    </row>
    <row r="11" spans="1:25" customFormat="1" x14ac:dyDescent="0.2">
      <c r="A11" s="6" t="s">
        <v>56</v>
      </c>
      <c r="B11" s="7">
        <v>6001</v>
      </c>
      <c r="C11" s="6" t="s">
        <v>59</v>
      </c>
      <c r="D11" s="6">
        <v>2</v>
      </c>
      <c r="E11" s="8">
        <v>7655382</v>
      </c>
      <c r="F11" s="8">
        <v>888</v>
      </c>
      <c r="G11" s="8">
        <v>877</v>
      </c>
      <c r="H11" s="9">
        <v>99.6</v>
      </c>
      <c r="I11" s="24" t="s">
        <v>58</v>
      </c>
      <c r="J11" s="19"/>
      <c r="K11" s="8">
        <v>7655382</v>
      </c>
      <c r="L11" s="8">
        <v>7655382</v>
      </c>
      <c r="M11" s="8">
        <v>7655382</v>
      </c>
      <c r="N11" s="65" t="s">
        <v>56</v>
      </c>
      <c r="O11" s="47">
        <f t="shared" si="3"/>
        <v>7.6553820000000004</v>
      </c>
      <c r="P11" s="47">
        <f t="shared" si="4"/>
        <v>7.6553820000000004</v>
      </c>
      <c r="Q11" s="47">
        <f t="shared" si="5"/>
        <v>7.6553820000000004</v>
      </c>
      <c r="R11" s="65" t="s">
        <v>56</v>
      </c>
      <c r="S11" s="47">
        <f t="shared" si="6"/>
        <v>2.75593752E-2</v>
      </c>
      <c r="T11" s="47">
        <f t="shared" si="7"/>
        <v>2.75593752E-2</v>
      </c>
      <c r="U11" s="47">
        <f t="shared" si="8"/>
        <v>2.75593752E-2</v>
      </c>
      <c r="V11" s="65"/>
    </row>
    <row r="12" spans="1:25" customFormat="1" x14ac:dyDescent="0.2">
      <c r="A12" s="6" t="s">
        <v>62</v>
      </c>
      <c r="B12" s="7">
        <v>8055</v>
      </c>
      <c r="C12" s="6" t="s">
        <v>63</v>
      </c>
      <c r="D12" s="6">
        <v>1</v>
      </c>
      <c r="E12" s="8">
        <v>5622437</v>
      </c>
      <c r="F12" s="8">
        <v>903</v>
      </c>
      <c r="G12" s="8">
        <v>833</v>
      </c>
      <c r="H12" s="9">
        <v>77</v>
      </c>
      <c r="I12" s="24" t="s">
        <v>58</v>
      </c>
      <c r="J12" s="19"/>
      <c r="K12" s="8">
        <v>5622437</v>
      </c>
      <c r="L12" s="8">
        <v>5622437</v>
      </c>
      <c r="M12" s="8">
        <v>5622437</v>
      </c>
      <c r="N12" s="65" t="s">
        <v>62</v>
      </c>
      <c r="O12" s="47">
        <f t="shared" si="3"/>
        <v>5.6224369999999997</v>
      </c>
      <c r="P12" s="47">
        <f t="shared" si="4"/>
        <v>5.6224369999999997</v>
      </c>
      <c r="Q12" s="47">
        <f t="shared" si="5"/>
        <v>5.6224369999999997</v>
      </c>
      <c r="R12" s="65" t="s">
        <v>62</v>
      </c>
      <c r="S12" s="47">
        <f t="shared" si="6"/>
        <v>2.0240773199999999E-2</v>
      </c>
      <c r="T12" s="47">
        <f t="shared" si="7"/>
        <v>2.0240773199999999E-2</v>
      </c>
      <c r="U12" s="47">
        <f t="shared" si="8"/>
        <v>2.0240773199999999E-2</v>
      </c>
      <c r="V12" s="65" t="s">
        <v>62</v>
      </c>
      <c r="W12">
        <f>SUM(S12:S13)</f>
        <v>4.5794944800000001E-2</v>
      </c>
      <c r="X12">
        <f t="shared" ref="X12:Y12" si="9">SUM(T12:T13)</f>
        <v>4.5794944800000001E-2</v>
      </c>
      <c r="Y12">
        <f t="shared" si="9"/>
        <v>4.5794944800000001E-2</v>
      </c>
    </row>
    <row r="13" spans="1:25" customFormat="1" x14ac:dyDescent="0.2">
      <c r="A13" s="6" t="s">
        <v>62</v>
      </c>
      <c r="B13" s="7">
        <v>8055</v>
      </c>
      <c r="C13" s="6" t="s">
        <v>63</v>
      </c>
      <c r="D13" s="6">
        <v>2</v>
      </c>
      <c r="E13" s="8">
        <v>7098381</v>
      </c>
      <c r="F13" s="8">
        <v>943</v>
      </c>
      <c r="G13" s="8">
        <v>985</v>
      </c>
      <c r="H13" s="9">
        <v>82.3</v>
      </c>
      <c r="I13" s="24" t="s">
        <v>58</v>
      </c>
      <c r="J13" s="19"/>
      <c r="K13" s="8">
        <v>7098381</v>
      </c>
      <c r="L13" s="8">
        <v>7098381</v>
      </c>
      <c r="M13" s="8">
        <v>7098381</v>
      </c>
      <c r="N13" s="65" t="s">
        <v>62</v>
      </c>
      <c r="O13" s="47">
        <f t="shared" si="3"/>
        <v>7.0983809999999998</v>
      </c>
      <c r="P13" s="47">
        <f t="shared" si="4"/>
        <v>7.0983809999999998</v>
      </c>
      <c r="Q13" s="47">
        <f t="shared" si="5"/>
        <v>7.0983809999999998</v>
      </c>
      <c r="R13" s="65" t="s">
        <v>62</v>
      </c>
      <c r="S13" s="47">
        <f t="shared" si="6"/>
        <v>2.5554171599999998E-2</v>
      </c>
      <c r="T13" s="47">
        <f t="shared" si="7"/>
        <v>2.5554171599999998E-2</v>
      </c>
      <c r="U13" s="47">
        <f t="shared" si="8"/>
        <v>2.5554171599999998E-2</v>
      </c>
      <c r="V13" s="65"/>
    </row>
    <row r="14" spans="1:25" customFormat="1" x14ac:dyDescent="0.2">
      <c r="A14" s="6" t="s">
        <v>60</v>
      </c>
      <c r="B14" s="7">
        <v>6008</v>
      </c>
      <c r="C14" s="6" t="s">
        <v>61</v>
      </c>
      <c r="D14" s="6">
        <v>1</v>
      </c>
      <c r="E14" s="8">
        <v>11220879</v>
      </c>
      <c r="F14" s="8">
        <v>1403</v>
      </c>
      <c r="G14" s="8">
        <v>1311</v>
      </c>
      <c r="H14" s="9">
        <v>97.7</v>
      </c>
      <c r="I14" s="24" t="s">
        <v>58</v>
      </c>
      <c r="J14" s="19"/>
      <c r="K14" s="8">
        <v>11220879</v>
      </c>
      <c r="L14" s="8">
        <v>11220879</v>
      </c>
      <c r="M14" s="8">
        <v>11220879</v>
      </c>
      <c r="N14" s="65" t="s">
        <v>60</v>
      </c>
      <c r="O14" s="47">
        <f t="shared" si="3"/>
        <v>11.220879</v>
      </c>
      <c r="P14" s="47">
        <f t="shared" si="4"/>
        <v>11.220879</v>
      </c>
      <c r="Q14" s="47">
        <f t="shared" si="5"/>
        <v>11.220879</v>
      </c>
      <c r="R14" s="65" t="s">
        <v>60</v>
      </c>
      <c r="S14" s="47">
        <f t="shared" si="6"/>
        <v>4.0395164399999996E-2</v>
      </c>
      <c r="T14" s="47">
        <f t="shared" si="7"/>
        <v>4.0395164399999996E-2</v>
      </c>
      <c r="U14" s="47">
        <f t="shared" si="8"/>
        <v>4.0395164399999996E-2</v>
      </c>
      <c r="V14" s="65" t="s">
        <v>60</v>
      </c>
      <c r="W14">
        <f>SUM(S14:S16)</f>
        <v>0.1119501324</v>
      </c>
      <c r="X14">
        <f t="shared" ref="X14:Y14" si="10">SUM(T14:T16)</f>
        <v>0.1119501324</v>
      </c>
      <c r="Y14">
        <f t="shared" si="10"/>
        <v>0.1119501324</v>
      </c>
    </row>
    <row r="15" spans="1:25" customFormat="1" x14ac:dyDescent="0.2">
      <c r="A15" s="6" t="s">
        <v>60</v>
      </c>
      <c r="B15" s="7">
        <v>6008</v>
      </c>
      <c r="C15" s="6" t="s">
        <v>61</v>
      </c>
      <c r="D15" s="6">
        <v>2</v>
      </c>
      <c r="E15" s="8">
        <v>9448932</v>
      </c>
      <c r="F15" s="8">
        <v>1403</v>
      </c>
      <c r="G15" s="8">
        <v>1314</v>
      </c>
      <c r="H15" s="9">
        <v>82.1</v>
      </c>
      <c r="I15" s="24" t="s">
        <v>58</v>
      </c>
      <c r="J15" s="19"/>
      <c r="K15" s="8">
        <v>9448932</v>
      </c>
      <c r="L15" s="8">
        <v>9448932</v>
      </c>
      <c r="M15" s="8">
        <v>9448932</v>
      </c>
      <c r="N15" s="65" t="s">
        <v>60</v>
      </c>
      <c r="O15" s="47">
        <f t="shared" si="3"/>
        <v>9.4489319999999992</v>
      </c>
      <c r="P15" s="47">
        <f t="shared" si="4"/>
        <v>9.4489319999999992</v>
      </c>
      <c r="Q15" s="47">
        <f t="shared" si="5"/>
        <v>9.4489319999999992</v>
      </c>
      <c r="R15" s="65" t="s">
        <v>60</v>
      </c>
      <c r="S15" s="47">
        <f t="shared" si="6"/>
        <v>3.4016155199999995E-2</v>
      </c>
      <c r="T15" s="47">
        <f t="shared" si="7"/>
        <v>3.4016155199999995E-2</v>
      </c>
      <c r="U15" s="47">
        <f t="shared" si="8"/>
        <v>3.4016155199999995E-2</v>
      </c>
      <c r="V15" s="65"/>
    </row>
    <row r="16" spans="1:25" customFormat="1" x14ac:dyDescent="0.2">
      <c r="A16" s="6" t="s">
        <v>60</v>
      </c>
      <c r="B16" s="7">
        <v>6008</v>
      </c>
      <c r="C16" s="6" t="s">
        <v>61</v>
      </c>
      <c r="D16" s="6">
        <v>3</v>
      </c>
      <c r="E16" s="8">
        <v>10427448</v>
      </c>
      <c r="F16" s="8">
        <v>1403</v>
      </c>
      <c r="G16" s="8">
        <v>1312</v>
      </c>
      <c r="H16" s="9">
        <v>90.7</v>
      </c>
      <c r="I16" s="24" t="s">
        <v>58</v>
      </c>
      <c r="J16" s="19"/>
      <c r="K16" s="8">
        <v>10427448</v>
      </c>
      <c r="L16" s="8">
        <v>10427448</v>
      </c>
      <c r="M16" s="8">
        <v>10427448</v>
      </c>
      <c r="N16" s="65" t="s">
        <v>60</v>
      </c>
      <c r="O16" s="47">
        <f t="shared" si="3"/>
        <v>10.427448</v>
      </c>
      <c r="P16" s="47">
        <f t="shared" si="4"/>
        <v>10.427448</v>
      </c>
      <c r="Q16" s="47">
        <f t="shared" si="5"/>
        <v>10.427448</v>
      </c>
      <c r="R16" s="65" t="s">
        <v>60</v>
      </c>
      <c r="S16" s="47">
        <f t="shared" si="6"/>
        <v>3.7538812800000002E-2</v>
      </c>
      <c r="T16" s="47">
        <f t="shared" si="7"/>
        <v>3.7538812800000002E-2</v>
      </c>
      <c r="U16" s="47">
        <f t="shared" si="8"/>
        <v>3.7538812800000002E-2</v>
      </c>
      <c r="V16" s="65"/>
    </row>
    <row r="17" spans="1:25" customFormat="1" x14ac:dyDescent="0.2">
      <c r="A17" s="14" t="s">
        <v>27</v>
      </c>
      <c r="B17" s="15">
        <v>6099</v>
      </c>
      <c r="C17" s="14" t="s">
        <v>28</v>
      </c>
      <c r="D17" s="14">
        <v>1</v>
      </c>
      <c r="E17" s="16">
        <v>9703806</v>
      </c>
      <c r="F17" s="16">
        <v>1159</v>
      </c>
      <c r="G17" s="16">
        <v>1122</v>
      </c>
      <c r="H17" s="17">
        <v>98.7</v>
      </c>
      <c r="I17" s="25" t="s">
        <v>44</v>
      </c>
      <c r="J17" s="45"/>
      <c r="K17" s="16">
        <v>9703806</v>
      </c>
      <c r="L17" s="16">
        <v>9703806</v>
      </c>
      <c r="M17" s="16">
        <v>9703806</v>
      </c>
      <c r="N17" s="65" t="s">
        <v>27</v>
      </c>
      <c r="O17" s="61">
        <f t="shared" si="3"/>
        <v>9.7038060000000002</v>
      </c>
      <c r="P17" s="61">
        <f t="shared" si="4"/>
        <v>9.7038060000000002</v>
      </c>
      <c r="Q17" s="61">
        <f t="shared" si="5"/>
        <v>9.7038060000000002</v>
      </c>
      <c r="R17" s="65" t="s">
        <v>27</v>
      </c>
      <c r="S17" s="61">
        <f t="shared" si="6"/>
        <v>3.4933701599999999E-2</v>
      </c>
      <c r="T17" s="61">
        <f t="shared" si="7"/>
        <v>3.4933701599999999E-2</v>
      </c>
      <c r="U17" s="61">
        <f t="shared" si="8"/>
        <v>3.4933701599999999E-2</v>
      </c>
      <c r="V17" s="65" t="s">
        <v>27</v>
      </c>
      <c r="W17">
        <f>SUM(S17:S18)</f>
        <v>6.5568668400000002E-2</v>
      </c>
      <c r="X17">
        <f t="shared" ref="X17:Y17" si="11">SUM(T17:T18)</f>
        <v>6.5568668400000002E-2</v>
      </c>
      <c r="Y17">
        <f t="shared" si="11"/>
        <v>6.5568668400000002E-2</v>
      </c>
    </row>
    <row r="18" spans="1:25" customFormat="1" x14ac:dyDescent="0.2">
      <c r="A18" s="14" t="s">
        <v>27</v>
      </c>
      <c r="B18" s="15">
        <v>6099</v>
      </c>
      <c r="C18" s="14" t="s">
        <v>28</v>
      </c>
      <c r="D18" s="14">
        <v>2</v>
      </c>
      <c r="E18" s="16">
        <v>8509713</v>
      </c>
      <c r="F18" s="16">
        <v>1164</v>
      </c>
      <c r="G18" s="16">
        <v>1118</v>
      </c>
      <c r="H18" s="17">
        <v>86.9</v>
      </c>
      <c r="I18" s="25" t="s">
        <v>44</v>
      </c>
      <c r="J18" s="19"/>
      <c r="K18" s="16">
        <v>8509713</v>
      </c>
      <c r="L18" s="16">
        <v>8509713</v>
      </c>
      <c r="M18" s="16">
        <v>8509713</v>
      </c>
      <c r="N18" s="65" t="s">
        <v>27</v>
      </c>
      <c r="O18" s="61">
        <f t="shared" si="3"/>
        <v>8.5097129999999996</v>
      </c>
      <c r="P18" s="61">
        <f t="shared" si="4"/>
        <v>8.5097129999999996</v>
      </c>
      <c r="Q18" s="61">
        <f t="shared" si="5"/>
        <v>8.5097129999999996</v>
      </c>
      <c r="R18" s="65" t="s">
        <v>27</v>
      </c>
      <c r="S18" s="61">
        <f t="shared" si="6"/>
        <v>3.0634966799999996E-2</v>
      </c>
      <c r="T18" s="61">
        <f t="shared" si="7"/>
        <v>3.0634966799999996E-2</v>
      </c>
      <c r="U18" s="61">
        <f t="shared" si="8"/>
        <v>3.0634966799999996E-2</v>
      </c>
      <c r="V18" s="65"/>
    </row>
    <row r="19" spans="1:25" customFormat="1" x14ac:dyDescent="0.2">
      <c r="A19" s="14" t="s">
        <v>42</v>
      </c>
      <c r="B19" s="15">
        <v>566</v>
      </c>
      <c r="C19" s="14" t="s">
        <v>43</v>
      </c>
      <c r="D19" s="14">
        <v>2</v>
      </c>
      <c r="E19" s="16">
        <v>6147489</v>
      </c>
      <c r="F19" s="16">
        <v>910</v>
      </c>
      <c r="G19" s="16">
        <v>868</v>
      </c>
      <c r="H19" s="17">
        <v>80.900000000000006</v>
      </c>
      <c r="I19" s="25" t="s">
        <v>44</v>
      </c>
      <c r="J19" s="19"/>
      <c r="K19" s="16">
        <v>6147489</v>
      </c>
      <c r="L19" s="16">
        <v>6147489</v>
      </c>
      <c r="M19" s="16">
        <v>6147489</v>
      </c>
      <c r="N19" s="65" t="s">
        <v>42</v>
      </c>
      <c r="O19" s="61">
        <f t="shared" si="3"/>
        <v>6.1474890000000002</v>
      </c>
      <c r="P19" s="61">
        <f t="shared" si="4"/>
        <v>6.1474890000000002</v>
      </c>
      <c r="Q19" s="61">
        <f t="shared" si="5"/>
        <v>6.1474890000000002</v>
      </c>
      <c r="R19" s="65" t="s">
        <v>42</v>
      </c>
      <c r="S19" s="61">
        <f t="shared" si="6"/>
        <v>2.21309604E-2</v>
      </c>
      <c r="T19" s="61">
        <f t="shared" si="7"/>
        <v>2.21309604E-2</v>
      </c>
      <c r="U19" s="61">
        <f t="shared" si="8"/>
        <v>2.21309604E-2</v>
      </c>
      <c r="V19" s="65" t="s">
        <v>42</v>
      </c>
      <c r="W19">
        <f>SUM(S19:S20)</f>
        <v>6.0773371199999995E-2</v>
      </c>
      <c r="X19">
        <f t="shared" ref="X19:Y19" si="12">SUM(T19:T20)</f>
        <v>6.0773371199999995E-2</v>
      </c>
      <c r="Y19">
        <f t="shared" si="12"/>
        <v>6.0773371199999995E-2</v>
      </c>
    </row>
    <row r="20" spans="1:25" customFormat="1" x14ac:dyDescent="0.2">
      <c r="A20" s="14" t="s">
        <v>42</v>
      </c>
      <c r="B20" s="15">
        <v>566</v>
      </c>
      <c r="C20" s="14" t="s">
        <v>43</v>
      </c>
      <c r="D20" s="14">
        <v>3</v>
      </c>
      <c r="E20" s="16">
        <v>10734003</v>
      </c>
      <c r="F20" s="16">
        <v>1253</v>
      </c>
      <c r="G20" s="16">
        <v>1220</v>
      </c>
      <c r="H20" s="17">
        <v>100.4</v>
      </c>
      <c r="I20" s="25" t="s">
        <v>44</v>
      </c>
      <c r="J20" s="19"/>
      <c r="K20" s="16">
        <v>10734003</v>
      </c>
      <c r="L20" s="16">
        <v>10734003</v>
      </c>
      <c r="M20" s="16">
        <v>10734003</v>
      </c>
      <c r="N20" s="65" t="s">
        <v>42</v>
      </c>
      <c r="O20" s="61">
        <f t="shared" si="3"/>
        <v>10.734003</v>
      </c>
      <c r="P20" s="61">
        <f t="shared" si="4"/>
        <v>10.734003</v>
      </c>
      <c r="Q20" s="61">
        <f t="shared" si="5"/>
        <v>10.734003</v>
      </c>
      <c r="R20" s="65" t="s">
        <v>42</v>
      </c>
      <c r="S20" s="61">
        <f t="shared" si="6"/>
        <v>3.8642410799999999E-2</v>
      </c>
      <c r="T20" s="61">
        <f t="shared" si="7"/>
        <v>3.8642410799999999E-2</v>
      </c>
      <c r="U20" s="61">
        <f t="shared" si="8"/>
        <v>3.8642410799999999E-2</v>
      </c>
      <c r="V20" s="65"/>
    </row>
    <row r="21" spans="1:25" customFormat="1" x14ac:dyDescent="0.2">
      <c r="A21" s="6" t="s">
        <v>64</v>
      </c>
      <c r="B21" s="7">
        <v>621</v>
      </c>
      <c r="C21" s="6" t="s">
        <v>65</v>
      </c>
      <c r="D21" s="6">
        <v>3</v>
      </c>
      <c r="E21" s="8">
        <v>6457621</v>
      </c>
      <c r="F21" s="8">
        <v>877</v>
      </c>
      <c r="G21" s="8">
        <v>802</v>
      </c>
      <c r="H21" s="9">
        <v>91.9</v>
      </c>
      <c r="I21" s="24" t="s">
        <v>58</v>
      </c>
      <c r="J21" s="19"/>
      <c r="K21" s="8">
        <v>6457621</v>
      </c>
      <c r="L21" s="8">
        <v>6457621</v>
      </c>
      <c r="M21" s="8">
        <v>6457621</v>
      </c>
      <c r="N21" s="65" t="s">
        <v>64</v>
      </c>
      <c r="O21" s="47">
        <f t="shared" si="3"/>
        <v>6.4576209999999996</v>
      </c>
      <c r="P21" s="47">
        <f t="shared" si="4"/>
        <v>6.4576209999999996</v>
      </c>
      <c r="Q21" s="47">
        <f t="shared" si="5"/>
        <v>6.4576209999999996</v>
      </c>
      <c r="R21" s="65" t="s">
        <v>64</v>
      </c>
      <c r="S21" s="47">
        <f t="shared" si="6"/>
        <v>2.3247435599999998E-2</v>
      </c>
      <c r="T21" s="47">
        <f t="shared" si="7"/>
        <v>2.3247435599999998E-2</v>
      </c>
      <c r="U21" s="47">
        <f t="shared" si="8"/>
        <v>2.3247435599999998E-2</v>
      </c>
      <c r="V21" s="65" t="s">
        <v>64</v>
      </c>
      <c r="W21">
        <f>SUM(S21:S24)</f>
        <v>0.10552445639999999</v>
      </c>
      <c r="X21">
        <f t="shared" ref="X21:Y21" si="13">SUM(T21:T24)</f>
        <v>0.10552445639999999</v>
      </c>
      <c r="Y21">
        <f t="shared" si="13"/>
        <v>0.10552445639999999</v>
      </c>
    </row>
    <row r="22" spans="1:25" customFormat="1" x14ac:dyDescent="0.2">
      <c r="A22" s="6" t="s">
        <v>64</v>
      </c>
      <c r="B22" s="7">
        <v>621</v>
      </c>
      <c r="C22" s="6" t="s">
        <v>65</v>
      </c>
      <c r="D22" s="6">
        <v>4</v>
      </c>
      <c r="E22" s="8">
        <v>7292147</v>
      </c>
      <c r="F22" s="8">
        <v>760</v>
      </c>
      <c r="G22" s="8">
        <v>802</v>
      </c>
      <c r="H22" s="9">
        <v>103.8</v>
      </c>
      <c r="I22" s="24" t="s">
        <v>58</v>
      </c>
      <c r="J22" s="19"/>
      <c r="K22" s="8">
        <v>7292147</v>
      </c>
      <c r="L22" s="8">
        <v>7292147</v>
      </c>
      <c r="M22" s="8">
        <v>7292147</v>
      </c>
      <c r="N22" s="65" t="s">
        <v>64</v>
      </c>
      <c r="O22" s="47">
        <f t="shared" si="3"/>
        <v>7.2921469999999999</v>
      </c>
      <c r="P22" s="47">
        <f t="shared" si="4"/>
        <v>7.2921469999999999</v>
      </c>
      <c r="Q22" s="47">
        <f t="shared" si="5"/>
        <v>7.2921469999999999</v>
      </c>
      <c r="R22" s="65" t="s">
        <v>64</v>
      </c>
      <c r="S22" s="47">
        <f t="shared" si="6"/>
        <v>2.6251729200000001E-2</v>
      </c>
      <c r="T22" s="47">
        <f t="shared" si="7"/>
        <v>2.6251729200000001E-2</v>
      </c>
      <c r="U22" s="47">
        <f t="shared" si="8"/>
        <v>2.6251729200000001E-2</v>
      </c>
      <c r="V22" s="65"/>
    </row>
    <row r="23" spans="1:25" customFormat="1" x14ac:dyDescent="0.2">
      <c r="A23" s="6" t="s">
        <v>64</v>
      </c>
      <c r="B23" s="7">
        <v>6045</v>
      </c>
      <c r="C23" s="6" t="s">
        <v>66</v>
      </c>
      <c r="D23" s="6">
        <v>1</v>
      </c>
      <c r="E23" s="8">
        <v>7914552</v>
      </c>
      <c r="F23" s="8">
        <v>1080</v>
      </c>
      <c r="G23" s="8">
        <v>981</v>
      </c>
      <c r="H23" s="9">
        <v>92.1</v>
      </c>
      <c r="I23" s="24" t="s">
        <v>58</v>
      </c>
      <c r="J23" s="19"/>
      <c r="K23" s="8">
        <v>7914552</v>
      </c>
      <c r="L23" s="8">
        <v>7914552</v>
      </c>
      <c r="M23" s="8">
        <v>7914552</v>
      </c>
      <c r="N23" s="65" t="s">
        <v>64</v>
      </c>
      <c r="O23" s="47">
        <f t="shared" si="3"/>
        <v>7.9145519999999996</v>
      </c>
      <c r="P23" s="47">
        <f t="shared" si="4"/>
        <v>7.9145519999999996</v>
      </c>
      <c r="Q23" s="47">
        <f t="shared" si="5"/>
        <v>7.9145519999999996</v>
      </c>
      <c r="R23" s="65" t="s">
        <v>64</v>
      </c>
      <c r="S23" s="47">
        <f t="shared" si="6"/>
        <v>2.8492387199999997E-2</v>
      </c>
      <c r="T23" s="47">
        <f t="shared" si="7"/>
        <v>2.8492387199999997E-2</v>
      </c>
      <c r="U23" s="47">
        <f t="shared" si="8"/>
        <v>2.8492387199999997E-2</v>
      </c>
      <c r="V23" s="65"/>
    </row>
    <row r="24" spans="1:25" customFormat="1" x14ac:dyDescent="0.2">
      <c r="A24" s="6" t="s">
        <v>64</v>
      </c>
      <c r="B24" s="7">
        <v>6045</v>
      </c>
      <c r="C24" s="6" t="s">
        <v>66</v>
      </c>
      <c r="D24" s="6">
        <v>2</v>
      </c>
      <c r="E24" s="8">
        <v>7648029</v>
      </c>
      <c r="F24" s="8">
        <v>1080</v>
      </c>
      <c r="G24" s="8">
        <v>987</v>
      </c>
      <c r="H24" s="9">
        <v>88.5</v>
      </c>
      <c r="I24" s="24" t="s">
        <v>58</v>
      </c>
      <c r="J24" s="19"/>
      <c r="K24" s="8">
        <v>7648029</v>
      </c>
      <c r="L24" s="8">
        <v>7648029</v>
      </c>
      <c r="M24" s="8">
        <v>7648029</v>
      </c>
      <c r="N24" s="65" t="s">
        <v>64</v>
      </c>
      <c r="O24" s="47">
        <f t="shared" si="3"/>
        <v>7.6480290000000002</v>
      </c>
      <c r="P24" s="47">
        <f t="shared" si="4"/>
        <v>7.6480290000000002</v>
      </c>
      <c r="Q24" s="47">
        <f t="shared" si="5"/>
        <v>7.6480290000000002</v>
      </c>
      <c r="R24" s="65" t="s">
        <v>64</v>
      </c>
      <c r="S24" s="47">
        <f t="shared" si="6"/>
        <v>2.7532904399999999E-2</v>
      </c>
      <c r="T24" s="47">
        <f t="shared" si="7"/>
        <v>2.7532904399999999E-2</v>
      </c>
      <c r="U24" s="47">
        <f t="shared" si="8"/>
        <v>2.7532904399999999E-2</v>
      </c>
      <c r="V24" s="65"/>
    </row>
    <row r="25" spans="1:25" customFormat="1" x14ac:dyDescent="0.2">
      <c r="A25" s="39" t="s">
        <v>67</v>
      </c>
      <c r="B25" s="40"/>
      <c r="C25" s="41" t="s">
        <v>53</v>
      </c>
      <c r="D25" s="41" t="s">
        <v>54</v>
      </c>
      <c r="E25" s="38"/>
      <c r="F25" s="38"/>
      <c r="G25" s="38"/>
      <c r="H25" s="42"/>
      <c r="I25" s="43" t="s">
        <v>55</v>
      </c>
      <c r="J25" s="19">
        <v>2023</v>
      </c>
      <c r="K25" s="38">
        <v>0</v>
      </c>
      <c r="L25" s="38">
        <v>17200000</v>
      </c>
      <c r="M25" s="38">
        <v>17200000</v>
      </c>
      <c r="N25" s="65" t="s">
        <v>67</v>
      </c>
      <c r="O25" s="60">
        <f t="shared" si="3"/>
        <v>0</v>
      </c>
      <c r="P25" s="60">
        <f t="shared" si="4"/>
        <v>17.2</v>
      </c>
      <c r="Q25" s="60">
        <f t="shared" si="5"/>
        <v>17.2</v>
      </c>
      <c r="R25" s="65" t="s">
        <v>67</v>
      </c>
      <c r="S25" s="60">
        <f t="shared" si="6"/>
        <v>0</v>
      </c>
      <c r="T25" s="60">
        <f t="shared" si="7"/>
        <v>6.1919999999999996E-2</v>
      </c>
      <c r="U25" s="60">
        <f t="shared" si="8"/>
        <v>6.1919999999999996E-2</v>
      </c>
      <c r="V25" s="65" t="s">
        <v>67</v>
      </c>
      <c r="W25">
        <f>SUM(S25:S29)</f>
        <v>0.1237056336</v>
      </c>
      <c r="X25">
        <f t="shared" ref="X25:Y25" si="14">SUM(T25:T29)</f>
        <v>0.18562563359999998</v>
      </c>
      <c r="Y25">
        <f t="shared" si="14"/>
        <v>0.18562563359999998</v>
      </c>
    </row>
    <row r="26" spans="1:25" customFormat="1" x14ac:dyDescent="0.2">
      <c r="A26" s="6" t="s">
        <v>67</v>
      </c>
      <c r="B26" s="7">
        <v>649</v>
      </c>
      <c r="C26" s="6" t="s">
        <v>68</v>
      </c>
      <c r="D26" s="6">
        <v>1</v>
      </c>
      <c r="E26" s="8">
        <v>9627221</v>
      </c>
      <c r="F26" s="8">
        <v>1160</v>
      </c>
      <c r="G26" s="8">
        <v>1150</v>
      </c>
      <c r="H26" s="9">
        <v>95.6</v>
      </c>
      <c r="I26" s="24" t="s">
        <v>58</v>
      </c>
      <c r="J26" s="19"/>
      <c r="K26" s="8">
        <v>9627221</v>
      </c>
      <c r="L26" s="8">
        <v>9627221</v>
      </c>
      <c r="M26" s="8">
        <v>9627221</v>
      </c>
      <c r="N26" s="65" t="s">
        <v>67</v>
      </c>
      <c r="O26" s="47">
        <f>K26/1000000</f>
        <v>9.6272210000000005</v>
      </c>
      <c r="P26" s="47">
        <f t="shared" si="4"/>
        <v>9.6272210000000005</v>
      </c>
      <c r="Q26" s="47">
        <f t="shared" si="5"/>
        <v>9.6272210000000005</v>
      </c>
      <c r="R26" s="65" t="s">
        <v>67</v>
      </c>
      <c r="S26" s="47">
        <f t="shared" si="6"/>
        <v>3.4657995599999998E-2</v>
      </c>
      <c r="T26" s="47">
        <f t="shared" si="7"/>
        <v>3.4657995599999998E-2</v>
      </c>
      <c r="U26" s="47">
        <f t="shared" si="8"/>
        <v>3.4657995599999998E-2</v>
      </c>
      <c r="V26" s="65"/>
    </row>
    <row r="27" spans="1:25" customFormat="1" x14ac:dyDescent="0.2">
      <c r="A27" s="6" t="s">
        <v>67</v>
      </c>
      <c r="B27" s="7">
        <v>649</v>
      </c>
      <c r="C27" s="6" t="s">
        <v>68</v>
      </c>
      <c r="D27" s="6">
        <v>2</v>
      </c>
      <c r="E27" s="8">
        <v>10331905</v>
      </c>
      <c r="F27" s="8">
        <v>1160</v>
      </c>
      <c r="G27" s="8">
        <v>1152</v>
      </c>
      <c r="H27" s="9">
        <v>102.4</v>
      </c>
      <c r="I27" s="24" t="s">
        <v>58</v>
      </c>
      <c r="J27" s="19"/>
      <c r="K27" s="8">
        <v>10331905</v>
      </c>
      <c r="L27" s="8">
        <v>10331905</v>
      </c>
      <c r="M27" s="8">
        <v>10331905</v>
      </c>
      <c r="N27" s="65" t="s">
        <v>67</v>
      </c>
      <c r="O27" s="47">
        <f t="shared" ref="O27:O43" si="15">K27/1000000</f>
        <v>10.331905000000001</v>
      </c>
      <c r="P27" s="47">
        <f t="shared" ref="P27:P63" si="16">L27/1000000</f>
        <v>10.331905000000001</v>
      </c>
      <c r="Q27" s="47">
        <f t="shared" ref="Q27:Q63" si="17">M27/1000000</f>
        <v>10.331905000000001</v>
      </c>
      <c r="R27" s="65" t="s">
        <v>67</v>
      </c>
      <c r="S27" s="47">
        <f t="shared" si="6"/>
        <v>3.7194858000000004E-2</v>
      </c>
      <c r="T27" s="47">
        <f t="shared" si="7"/>
        <v>3.7194858000000004E-2</v>
      </c>
      <c r="U27" s="47">
        <f t="shared" si="8"/>
        <v>3.7194858000000004E-2</v>
      </c>
      <c r="V27" s="65"/>
    </row>
    <row r="28" spans="1:25" customFormat="1" x14ac:dyDescent="0.2">
      <c r="A28" s="6" t="s">
        <v>67</v>
      </c>
      <c r="B28" s="7">
        <v>6051</v>
      </c>
      <c r="C28" s="6" t="s">
        <v>69</v>
      </c>
      <c r="D28" s="6">
        <v>1</v>
      </c>
      <c r="E28" s="8">
        <v>7009585</v>
      </c>
      <c r="F28" s="8">
        <v>857</v>
      </c>
      <c r="G28" s="8">
        <v>876</v>
      </c>
      <c r="H28" s="9">
        <v>91.3</v>
      </c>
      <c r="I28" s="24" t="s">
        <v>58</v>
      </c>
      <c r="J28" s="19"/>
      <c r="K28" s="8">
        <v>7009585</v>
      </c>
      <c r="L28" s="8">
        <v>7009585</v>
      </c>
      <c r="M28" s="8">
        <v>7009585</v>
      </c>
      <c r="N28" s="65" t="s">
        <v>67</v>
      </c>
      <c r="O28" s="47">
        <f t="shared" si="15"/>
        <v>7.0095850000000004</v>
      </c>
      <c r="P28" s="47">
        <f t="shared" si="16"/>
        <v>7.0095850000000004</v>
      </c>
      <c r="Q28" s="47">
        <f t="shared" si="17"/>
        <v>7.0095850000000004</v>
      </c>
      <c r="R28" s="65" t="s">
        <v>67</v>
      </c>
      <c r="S28" s="47">
        <f t="shared" si="6"/>
        <v>2.5234506E-2</v>
      </c>
      <c r="T28" s="47">
        <f t="shared" si="7"/>
        <v>2.5234506E-2</v>
      </c>
      <c r="U28" s="47">
        <f t="shared" si="8"/>
        <v>2.5234506E-2</v>
      </c>
      <c r="V28" s="65"/>
    </row>
    <row r="29" spans="1:25" customFormat="1" x14ac:dyDescent="0.2">
      <c r="A29" s="6" t="s">
        <v>67</v>
      </c>
      <c r="B29" s="7">
        <v>6051</v>
      </c>
      <c r="C29" s="6" t="s">
        <v>69</v>
      </c>
      <c r="D29" s="6">
        <v>2</v>
      </c>
      <c r="E29" s="8">
        <v>7393965</v>
      </c>
      <c r="F29" s="8">
        <v>865</v>
      </c>
      <c r="G29" s="8">
        <v>883</v>
      </c>
      <c r="H29" s="9">
        <v>95.6</v>
      </c>
      <c r="I29" s="24" t="s">
        <v>58</v>
      </c>
      <c r="J29" s="19"/>
      <c r="K29" s="8">
        <v>7393965</v>
      </c>
      <c r="L29" s="8">
        <v>7393965</v>
      </c>
      <c r="M29" s="8">
        <v>7393965</v>
      </c>
      <c r="N29" s="65" t="s">
        <v>67</v>
      </c>
      <c r="O29" s="47">
        <f t="shared" si="15"/>
        <v>7.3939649999999997</v>
      </c>
      <c r="P29" s="47">
        <f t="shared" si="16"/>
        <v>7.3939649999999997</v>
      </c>
      <c r="Q29" s="47">
        <f t="shared" si="17"/>
        <v>7.3939649999999997</v>
      </c>
      <c r="R29" s="65" t="s">
        <v>67</v>
      </c>
      <c r="S29" s="47">
        <f t="shared" si="6"/>
        <v>2.6618273999999997E-2</v>
      </c>
      <c r="T29" s="47">
        <f t="shared" si="7"/>
        <v>2.6618273999999997E-2</v>
      </c>
      <c r="U29" s="47">
        <f t="shared" si="8"/>
        <v>2.6618273999999997E-2</v>
      </c>
      <c r="V29" s="65"/>
    </row>
    <row r="30" spans="1:25" customFormat="1" x14ac:dyDescent="0.2">
      <c r="A30" s="10" t="s">
        <v>31</v>
      </c>
      <c r="B30" s="11">
        <v>1060</v>
      </c>
      <c r="C30" s="10" t="s">
        <v>32</v>
      </c>
      <c r="D30" s="10">
        <v>1</v>
      </c>
      <c r="E30" s="12">
        <v>4895399</v>
      </c>
      <c r="F30" s="12">
        <v>680</v>
      </c>
      <c r="G30" s="12">
        <v>601</v>
      </c>
      <c r="H30" s="13">
        <v>92.9</v>
      </c>
      <c r="I30" s="26" t="s">
        <v>23</v>
      </c>
      <c r="J30" s="19">
        <v>2020</v>
      </c>
      <c r="K30" s="12">
        <v>4895399</v>
      </c>
      <c r="L30" s="12">
        <v>0</v>
      </c>
      <c r="M30" s="12">
        <v>0</v>
      </c>
      <c r="N30" s="65" t="s">
        <v>31</v>
      </c>
      <c r="O30" s="62">
        <f t="shared" si="15"/>
        <v>4.8953990000000003</v>
      </c>
      <c r="P30" s="62">
        <f t="shared" si="16"/>
        <v>0</v>
      </c>
      <c r="Q30" s="62">
        <f t="shared" si="17"/>
        <v>0</v>
      </c>
      <c r="R30" s="65" t="s">
        <v>31</v>
      </c>
      <c r="S30" s="62">
        <f t="shared" si="6"/>
        <v>1.7623436400000001E-2</v>
      </c>
      <c r="T30" s="62">
        <f t="shared" si="7"/>
        <v>0</v>
      </c>
      <c r="U30" s="62">
        <f t="shared" si="8"/>
        <v>0</v>
      </c>
      <c r="V30" s="65" t="s">
        <v>31</v>
      </c>
      <c r="W30">
        <f>S30</f>
        <v>1.7623436400000001E-2</v>
      </c>
      <c r="X30">
        <f t="shared" ref="X30:Y30" si="18">T30</f>
        <v>0</v>
      </c>
      <c r="Y30">
        <f t="shared" si="18"/>
        <v>0</v>
      </c>
    </row>
    <row r="31" spans="1:25" customFormat="1" x14ac:dyDescent="0.2">
      <c r="A31" s="14" t="s">
        <v>45</v>
      </c>
      <c r="B31" s="15">
        <v>204</v>
      </c>
      <c r="C31" s="14" t="s">
        <v>46</v>
      </c>
      <c r="D31" s="14">
        <v>1</v>
      </c>
      <c r="E31" s="16">
        <v>8346686</v>
      </c>
      <c r="F31" s="16">
        <v>1138</v>
      </c>
      <c r="G31" s="16">
        <v>1060</v>
      </c>
      <c r="H31" s="17">
        <v>89.9</v>
      </c>
      <c r="I31" s="25" t="s">
        <v>44</v>
      </c>
      <c r="J31" s="19"/>
      <c r="K31" s="16">
        <v>8346686</v>
      </c>
      <c r="L31" s="16">
        <v>8346686</v>
      </c>
      <c r="M31" s="16">
        <v>8346686</v>
      </c>
      <c r="N31" s="65" t="s">
        <v>45</v>
      </c>
      <c r="O31" s="61">
        <f t="shared" si="15"/>
        <v>8.346686</v>
      </c>
      <c r="P31" s="61">
        <f t="shared" si="16"/>
        <v>8.346686</v>
      </c>
      <c r="Q31" s="61">
        <f t="shared" si="17"/>
        <v>8.346686</v>
      </c>
      <c r="R31" s="65" t="s">
        <v>45</v>
      </c>
      <c r="S31" s="61">
        <f t="shared" si="6"/>
        <v>3.0048069599999998E-2</v>
      </c>
      <c r="T31" s="61">
        <f t="shared" si="7"/>
        <v>3.0048069599999998E-2</v>
      </c>
      <c r="U31" s="61">
        <f t="shared" si="8"/>
        <v>3.0048069599999998E-2</v>
      </c>
      <c r="V31" s="65" t="s">
        <v>45</v>
      </c>
      <c r="W31">
        <f>SUM(S31:S41)</f>
        <v>0.35316549720000001</v>
      </c>
      <c r="X31">
        <f t="shared" ref="X31:Y31" si="19">SUM(T31:T41)</f>
        <v>0.35316549720000001</v>
      </c>
      <c r="Y31">
        <f t="shared" si="19"/>
        <v>0.35316549720000001</v>
      </c>
    </row>
    <row r="32" spans="1:25" customFormat="1" x14ac:dyDescent="0.2">
      <c r="A32" s="14" t="s">
        <v>45</v>
      </c>
      <c r="B32" s="15">
        <v>880</v>
      </c>
      <c r="C32" s="14" t="s">
        <v>47</v>
      </c>
      <c r="D32" s="14">
        <v>1</v>
      </c>
      <c r="E32" s="16">
        <v>8051911</v>
      </c>
      <c r="F32" s="16">
        <v>1009</v>
      </c>
      <c r="G32" s="16">
        <v>908</v>
      </c>
      <c r="H32" s="17">
        <v>101.2</v>
      </c>
      <c r="I32" s="25" t="s">
        <v>44</v>
      </c>
      <c r="J32" s="19"/>
      <c r="K32" s="16">
        <v>8051911</v>
      </c>
      <c r="L32" s="16">
        <v>8051911</v>
      </c>
      <c r="M32" s="16">
        <v>8051911</v>
      </c>
      <c r="N32" s="65" t="s">
        <v>45</v>
      </c>
      <c r="O32" s="61">
        <f t="shared" si="15"/>
        <v>8.0519110000000005</v>
      </c>
      <c r="P32" s="61">
        <f t="shared" si="16"/>
        <v>8.0519110000000005</v>
      </c>
      <c r="Q32" s="61">
        <f t="shared" si="17"/>
        <v>8.0519110000000005</v>
      </c>
      <c r="R32" s="65" t="s">
        <v>45</v>
      </c>
      <c r="S32" s="61">
        <f t="shared" si="6"/>
        <v>2.8986879600000001E-2</v>
      </c>
      <c r="T32" s="61">
        <f t="shared" si="7"/>
        <v>2.8986879600000001E-2</v>
      </c>
      <c r="U32" s="61">
        <f t="shared" si="8"/>
        <v>2.8986879600000001E-2</v>
      </c>
      <c r="V32" s="65"/>
    </row>
    <row r="33" spans="1:25" customFormat="1" x14ac:dyDescent="0.2">
      <c r="A33" s="14" t="s">
        <v>45</v>
      </c>
      <c r="B33" s="15">
        <v>880</v>
      </c>
      <c r="C33" s="14" t="s">
        <v>47</v>
      </c>
      <c r="D33" s="14">
        <v>2</v>
      </c>
      <c r="E33" s="16">
        <v>7424547</v>
      </c>
      <c r="F33" s="16">
        <v>1009</v>
      </c>
      <c r="G33" s="16">
        <v>911</v>
      </c>
      <c r="H33" s="17">
        <v>93</v>
      </c>
      <c r="I33" s="25" t="s">
        <v>44</v>
      </c>
      <c r="J33" s="19"/>
      <c r="K33" s="16">
        <v>7424547</v>
      </c>
      <c r="L33" s="16">
        <v>7424547</v>
      </c>
      <c r="M33" s="16">
        <v>7424547</v>
      </c>
      <c r="N33" s="65" t="s">
        <v>45</v>
      </c>
      <c r="O33" s="61">
        <f t="shared" si="15"/>
        <v>7.4245469999999996</v>
      </c>
      <c r="P33" s="61">
        <f t="shared" si="16"/>
        <v>7.4245469999999996</v>
      </c>
      <c r="Q33" s="61">
        <f t="shared" si="17"/>
        <v>7.4245469999999996</v>
      </c>
      <c r="R33" s="65" t="s">
        <v>45</v>
      </c>
      <c r="S33" s="61">
        <f t="shared" si="6"/>
        <v>2.6728369199999998E-2</v>
      </c>
      <c r="T33" s="61">
        <f t="shared" si="7"/>
        <v>2.6728369199999998E-2</v>
      </c>
      <c r="U33" s="61">
        <f t="shared" si="8"/>
        <v>2.6728369199999998E-2</v>
      </c>
      <c r="V33" s="65"/>
    </row>
    <row r="34" spans="1:25" customFormat="1" x14ac:dyDescent="0.2">
      <c r="A34" s="6" t="s">
        <v>45</v>
      </c>
      <c r="B34" s="7">
        <v>869</v>
      </c>
      <c r="C34" s="6" t="s">
        <v>70</v>
      </c>
      <c r="D34" s="6">
        <v>2</v>
      </c>
      <c r="E34" s="8">
        <v>8052440</v>
      </c>
      <c r="F34" s="8">
        <v>1009</v>
      </c>
      <c r="G34" s="8">
        <v>902</v>
      </c>
      <c r="H34" s="9">
        <v>101.9</v>
      </c>
      <c r="I34" s="24" t="s">
        <v>58</v>
      </c>
      <c r="J34" s="19"/>
      <c r="K34" s="8">
        <v>8052440</v>
      </c>
      <c r="L34" s="8">
        <v>8052440</v>
      </c>
      <c r="M34" s="8">
        <v>8052440</v>
      </c>
      <c r="N34" s="65" t="s">
        <v>45</v>
      </c>
      <c r="O34" s="47">
        <f t="shared" si="15"/>
        <v>8.0524400000000007</v>
      </c>
      <c r="P34" s="47">
        <f t="shared" si="16"/>
        <v>8.0524400000000007</v>
      </c>
      <c r="Q34" s="47">
        <f t="shared" si="17"/>
        <v>8.0524400000000007</v>
      </c>
      <c r="R34" s="65" t="s">
        <v>45</v>
      </c>
      <c r="S34" s="47">
        <f t="shared" si="6"/>
        <v>2.8988784E-2</v>
      </c>
      <c r="T34" s="47">
        <f t="shared" si="7"/>
        <v>2.8988784E-2</v>
      </c>
      <c r="U34" s="47">
        <f t="shared" si="8"/>
        <v>2.8988784E-2</v>
      </c>
      <c r="V34" s="65"/>
    </row>
    <row r="35" spans="1:25" customFormat="1" x14ac:dyDescent="0.2">
      <c r="A35" s="6" t="s">
        <v>45</v>
      </c>
      <c r="B35" s="7">
        <v>869</v>
      </c>
      <c r="C35" s="6" t="s">
        <v>70</v>
      </c>
      <c r="D35" s="6">
        <v>3</v>
      </c>
      <c r="E35" s="8">
        <v>7485695</v>
      </c>
      <c r="F35" s="8">
        <v>1009</v>
      </c>
      <c r="G35" s="8">
        <v>895</v>
      </c>
      <c r="H35" s="9">
        <v>95.5</v>
      </c>
      <c r="I35" s="24" t="s">
        <v>58</v>
      </c>
      <c r="J35" s="19"/>
      <c r="K35" s="8">
        <v>7485695</v>
      </c>
      <c r="L35" s="8">
        <v>7485695</v>
      </c>
      <c r="M35" s="8">
        <v>7485695</v>
      </c>
      <c r="N35" s="65" t="s">
        <v>45</v>
      </c>
      <c r="O35" s="47">
        <f t="shared" si="15"/>
        <v>7.4856949999999998</v>
      </c>
      <c r="P35" s="47">
        <f t="shared" si="16"/>
        <v>7.4856949999999998</v>
      </c>
      <c r="Q35" s="47">
        <f t="shared" si="17"/>
        <v>7.4856949999999998</v>
      </c>
      <c r="R35" s="65" t="s">
        <v>45</v>
      </c>
      <c r="S35" s="47">
        <f t="shared" si="6"/>
        <v>2.6948501999999999E-2</v>
      </c>
      <c r="T35" s="47">
        <f t="shared" si="7"/>
        <v>2.6948501999999999E-2</v>
      </c>
      <c r="U35" s="47">
        <f t="shared" si="8"/>
        <v>2.6948501999999999E-2</v>
      </c>
      <c r="V35" s="65"/>
    </row>
    <row r="36" spans="1:25" customFormat="1" x14ac:dyDescent="0.2">
      <c r="A36" s="6" t="s">
        <v>45</v>
      </c>
      <c r="B36" s="7">
        <v>6022</v>
      </c>
      <c r="C36" s="6" t="s">
        <v>71</v>
      </c>
      <c r="D36" s="6">
        <v>1</v>
      </c>
      <c r="E36" s="8">
        <v>9834457</v>
      </c>
      <c r="F36" s="8">
        <v>1225</v>
      </c>
      <c r="G36" s="8">
        <v>1183</v>
      </c>
      <c r="H36" s="9">
        <v>94.9</v>
      </c>
      <c r="I36" s="24" t="s">
        <v>58</v>
      </c>
      <c r="J36" s="19"/>
      <c r="K36" s="8">
        <v>9834457</v>
      </c>
      <c r="L36" s="8">
        <v>9834457</v>
      </c>
      <c r="M36" s="8">
        <v>9834457</v>
      </c>
      <c r="N36" s="65" t="s">
        <v>45</v>
      </c>
      <c r="O36" s="47">
        <f t="shared" si="15"/>
        <v>9.8344570000000004</v>
      </c>
      <c r="P36" s="47">
        <f t="shared" si="16"/>
        <v>9.8344570000000004</v>
      </c>
      <c r="Q36" s="47">
        <f t="shared" si="17"/>
        <v>9.8344570000000004</v>
      </c>
      <c r="R36" s="65" t="s">
        <v>45</v>
      </c>
      <c r="S36" s="47">
        <f t="shared" si="6"/>
        <v>3.5404045199999998E-2</v>
      </c>
      <c r="T36" s="47">
        <f t="shared" si="7"/>
        <v>3.5404045199999998E-2</v>
      </c>
      <c r="U36" s="47">
        <f t="shared" si="8"/>
        <v>3.5404045199999998E-2</v>
      </c>
      <c r="V36" s="65"/>
    </row>
    <row r="37" spans="1:25" customFormat="1" x14ac:dyDescent="0.2">
      <c r="A37" s="6" t="s">
        <v>45</v>
      </c>
      <c r="B37" s="7">
        <v>6022</v>
      </c>
      <c r="C37" s="6" t="s">
        <v>71</v>
      </c>
      <c r="D37" s="6">
        <v>2</v>
      </c>
      <c r="E37" s="8">
        <v>9509002</v>
      </c>
      <c r="F37" s="8">
        <v>1225</v>
      </c>
      <c r="G37" s="8">
        <v>1154</v>
      </c>
      <c r="H37" s="9">
        <v>94.1</v>
      </c>
      <c r="I37" s="24" t="s">
        <v>58</v>
      </c>
      <c r="J37" s="19"/>
      <c r="K37" s="8">
        <v>9509002</v>
      </c>
      <c r="L37" s="8">
        <v>9509002</v>
      </c>
      <c r="M37" s="8">
        <v>9509002</v>
      </c>
      <c r="N37" s="65" t="s">
        <v>45</v>
      </c>
      <c r="O37" s="47">
        <f t="shared" si="15"/>
        <v>9.5090020000000006</v>
      </c>
      <c r="P37" s="47">
        <f t="shared" si="16"/>
        <v>9.5090020000000006</v>
      </c>
      <c r="Q37" s="47">
        <f t="shared" si="17"/>
        <v>9.5090020000000006</v>
      </c>
      <c r="R37" s="65" t="s">
        <v>45</v>
      </c>
      <c r="S37" s="47">
        <f t="shared" si="6"/>
        <v>3.4232407200000002E-2</v>
      </c>
      <c r="T37" s="47">
        <f t="shared" si="7"/>
        <v>3.4232407200000002E-2</v>
      </c>
      <c r="U37" s="47">
        <f t="shared" si="8"/>
        <v>3.4232407200000002E-2</v>
      </c>
      <c r="V37" s="65"/>
    </row>
    <row r="38" spans="1:25" customFormat="1" x14ac:dyDescent="0.2">
      <c r="A38" s="6" t="s">
        <v>45</v>
      </c>
      <c r="B38" s="7">
        <v>6023</v>
      </c>
      <c r="C38" s="6" t="s">
        <v>72</v>
      </c>
      <c r="D38" s="6">
        <v>1</v>
      </c>
      <c r="E38" s="8">
        <v>9868770</v>
      </c>
      <c r="F38" s="8">
        <v>1225</v>
      </c>
      <c r="G38" s="8">
        <v>1164</v>
      </c>
      <c r="H38" s="9">
        <v>96.8</v>
      </c>
      <c r="I38" s="24" t="s">
        <v>58</v>
      </c>
      <c r="J38" s="19"/>
      <c r="K38" s="8">
        <v>9868770</v>
      </c>
      <c r="L38" s="8">
        <v>9868770</v>
      </c>
      <c r="M38" s="8">
        <v>9868770</v>
      </c>
      <c r="N38" s="65" t="s">
        <v>45</v>
      </c>
      <c r="O38" s="47">
        <f t="shared" si="15"/>
        <v>9.8687699999999996</v>
      </c>
      <c r="P38" s="47">
        <f t="shared" si="16"/>
        <v>9.8687699999999996</v>
      </c>
      <c r="Q38" s="47">
        <f t="shared" si="17"/>
        <v>9.8687699999999996</v>
      </c>
      <c r="R38" s="65" t="s">
        <v>45</v>
      </c>
      <c r="S38" s="47">
        <f t="shared" si="6"/>
        <v>3.5527572E-2</v>
      </c>
      <c r="T38" s="47">
        <f t="shared" si="7"/>
        <v>3.5527572E-2</v>
      </c>
      <c r="U38" s="47">
        <f t="shared" si="8"/>
        <v>3.5527572E-2</v>
      </c>
      <c r="V38" s="65"/>
    </row>
    <row r="39" spans="1:25" customFormat="1" x14ac:dyDescent="0.2">
      <c r="A39" s="6" t="s">
        <v>45</v>
      </c>
      <c r="B39" s="7">
        <v>6023</v>
      </c>
      <c r="C39" s="6" t="s">
        <v>72</v>
      </c>
      <c r="D39" s="6">
        <v>2</v>
      </c>
      <c r="E39" s="8">
        <v>10182253</v>
      </c>
      <c r="F39" s="8">
        <v>1225</v>
      </c>
      <c r="G39" s="8">
        <v>1136</v>
      </c>
      <c r="H39" s="9">
        <v>102.3</v>
      </c>
      <c r="I39" s="24" t="s">
        <v>58</v>
      </c>
      <c r="J39" s="19"/>
      <c r="K39" s="8">
        <v>10182253</v>
      </c>
      <c r="L39" s="8">
        <v>10182253</v>
      </c>
      <c r="M39" s="8">
        <v>10182253</v>
      </c>
      <c r="N39" s="65" t="s">
        <v>45</v>
      </c>
      <c r="O39" s="47">
        <f t="shared" si="15"/>
        <v>10.182252999999999</v>
      </c>
      <c r="P39" s="47">
        <f t="shared" si="16"/>
        <v>10.182252999999999</v>
      </c>
      <c r="Q39" s="47">
        <f t="shared" si="17"/>
        <v>10.182252999999999</v>
      </c>
      <c r="R39" s="65" t="s">
        <v>45</v>
      </c>
      <c r="S39" s="47">
        <f t="shared" si="6"/>
        <v>3.6656110799999995E-2</v>
      </c>
      <c r="T39" s="47">
        <f t="shared" si="7"/>
        <v>3.6656110799999995E-2</v>
      </c>
      <c r="U39" s="47">
        <f t="shared" si="8"/>
        <v>3.6656110799999995E-2</v>
      </c>
      <c r="V39" s="65"/>
    </row>
    <row r="40" spans="1:25" customFormat="1" x14ac:dyDescent="0.2">
      <c r="A40" s="6" t="s">
        <v>45</v>
      </c>
      <c r="B40" s="7">
        <v>6026</v>
      </c>
      <c r="C40" s="6" t="s">
        <v>73</v>
      </c>
      <c r="D40" s="6">
        <v>1</v>
      </c>
      <c r="E40" s="8">
        <v>9321629</v>
      </c>
      <c r="F40" s="8">
        <v>1170</v>
      </c>
      <c r="G40" s="8">
        <v>1131</v>
      </c>
      <c r="H40" s="9">
        <v>94.1</v>
      </c>
      <c r="I40" s="24" t="s">
        <v>58</v>
      </c>
      <c r="J40" s="19"/>
      <c r="K40" s="8">
        <v>9321629</v>
      </c>
      <c r="L40" s="8">
        <v>9321629</v>
      </c>
      <c r="M40" s="8">
        <v>9321629</v>
      </c>
      <c r="N40" s="65" t="s">
        <v>45</v>
      </c>
      <c r="O40" s="47">
        <f t="shared" si="15"/>
        <v>9.3216289999999997</v>
      </c>
      <c r="P40" s="47">
        <f t="shared" si="16"/>
        <v>9.3216289999999997</v>
      </c>
      <c r="Q40" s="47">
        <f t="shared" si="17"/>
        <v>9.3216289999999997</v>
      </c>
      <c r="R40" s="65" t="s">
        <v>45</v>
      </c>
      <c r="S40" s="47">
        <f t="shared" si="6"/>
        <v>3.3557864399999998E-2</v>
      </c>
      <c r="T40" s="47">
        <f t="shared" si="7"/>
        <v>3.3557864399999998E-2</v>
      </c>
      <c r="U40" s="47">
        <f t="shared" si="8"/>
        <v>3.3557864399999998E-2</v>
      </c>
      <c r="V40" s="65"/>
    </row>
    <row r="41" spans="1:25" customFormat="1" x14ac:dyDescent="0.2">
      <c r="A41" s="6" t="s">
        <v>45</v>
      </c>
      <c r="B41" s="7">
        <v>6026</v>
      </c>
      <c r="C41" s="6" t="s">
        <v>73</v>
      </c>
      <c r="D41" s="6">
        <v>2</v>
      </c>
      <c r="E41" s="8">
        <v>10024137</v>
      </c>
      <c r="F41" s="8">
        <v>1170</v>
      </c>
      <c r="G41" s="8">
        <v>1134</v>
      </c>
      <c r="H41" s="9">
        <v>100.9</v>
      </c>
      <c r="I41" s="24" t="s">
        <v>58</v>
      </c>
      <c r="J41" s="19"/>
      <c r="K41" s="8">
        <v>10024137</v>
      </c>
      <c r="L41" s="8">
        <v>10024137</v>
      </c>
      <c r="M41" s="8">
        <v>10024137</v>
      </c>
      <c r="N41" s="65" t="s">
        <v>45</v>
      </c>
      <c r="O41" s="47">
        <f t="shared" si="15"/>
        <v>10.024137</v>
      </c>
      <c r="P41" s="47">
        <f t="shared" si="16"/>
        <v>10.024137</v>
      </c>
      <c r="Q41" s="47">
        <f t="shared" si="17"/>
        <v>10.024137</v>
      </c>
      <c r="R41" s="65" t="s">
        <v>45</v>
      </c>
      <c r="S41" s="47">
        <f t="shared" si="6"/>
        <v>3.6086893199999998E-2</v>
      </c>
      <c r="T41" s="47">
        <f t="shared" si="7"/>
        <v>3.6086893199999998E-2</v>
      </c>
      <c r="U41" s="47">
        <f t="shared" si="8"/>
        <v>3.6086893199999998E-2</v>
      </c>
      <c r="V41" s="65"/>
    </row>
    <row r="42" spans="1:25" customFormat="1" x14ac:dyDescent="0.2">
      <c r="A42" s="6" t="s">
        <v>74</v>
      </c>
      <c r="B42" s="7">
        <v>210</v>
      </c>
      <c r="C42" s="6" t="s">
        <v>75</v>
      </c>
      <c r="D42" s="6">
        <v>1</v>
      </c>
      <c r="E42" s="8">
        <v>9168289</v>
      </c>
      <c r="F42" s="8">
        <v>1268</v>
      </c>
      <c r="G42" s="8">
        <v>1225</v>
      </c>
      <c r="H42" s="9">
        <v>85.4</v>
      </c>
      <c r="I42" s="24" t="s">
        <v>58</v>
      </c>
      <c r="J42" s="19"/>
      <c r="K42" s="8">
        <v>9168289</v>
      </c>
      <c r="L42" s="8">
        <v>9168289</v>
      </c>
      <c r="M42" s="8">
        <v>9168289</v>
      </c>
      <c r="N42" s="65" t="s">
        <v>74</v>
      </c>
      <c r="O42" s="47">
        <f t="shared" si="15"/>
        <v>9.1682889999999997</v>
      </c>
      <c r="P42" s="47">
        <f t="shared" si="16"/>
        <v>9.1682889999999997</v>
      </c>
      <c r="Q42" s="47">
        <f t="shared" si="17"/>
        <v>9.1682889999999997</v>
      </c>
      <c r="R42" s="65" t="s">
        <v>74</v>
      </c>
      <c r="S42" s="47">
        <f t="shared" si="6"/>
        <v>3.30058404E-2</v>
      </c>
      <c r="T42" s="47">
        <f t="shared" si="7"/>
        <v>3.30058404E-2</v>
      </c>
      <c r="U42" s="47">
        <f t="shared" si="8"/>
        <v>3.30058404E-2</v>
      </c>
      <c r="V42" s="65" t="s">
        <v>74</v>
      </c>
      <c r="W42">
        <f>S42</f>
        <v>3.30058404E-2</v>
      </c>
      <c r="X42">
        <f t="shared" ref="X42:Y42" si="20">T42</f>
        <v>3.30058404E-2</v>
      </c>
      <c r="Y42">
        <f t="shared" si="20"/>
        <v>3.30058404E-2</v>
      </c>
    </row>
    <row r="43" spans="1:25" customFormat="1" x14ac:dyDescent="0.2">
      <c r="A43" s="6" t="s">
        <v>76</v>
      </c>
      <c r="B43" s="7">
        <v>4270</v>
      </c>
      <c r="C43" s="6" t="s">
        <v>77</v>
      </c>
      <c r="D43" s="6">
        <v>3</v>
      </c>
      <c r="E43" s="8">
        <v>10152586</v>
      </c>
      <c r="F43" s="8">
        <v>1200</v>
      </c>
      <c r="G43" s="8">
        <v>1165</v>
      </c>
      <c r="H43" s="9">
        <v>99.4</v>
      </c>
      <c r="I43" s="24" t="s">
        <v>58</v>
      </c>
      <c r="J43" s="19"/>
      <c r="K43" s="8">
        <v>10152586</v>
      </c>
      <c r="L43" s="8">
        <v>10152586</v>
      </c>
      <c r="M43" s="8">
        <v>10152586</v>
      </c>
      <c r="N43" s="65" t="s">
        <v>76</v>
      </c>
      <c r="O43" s="47">
        <f t="shared" si="15"/>
        <v>10.152585999999999</v>
      </c>
      <c r="P43" s="47">
        <f t="shared" si="16"/>
        <v>10.152585999999999</v>
      </c>
      <c r="Q43" s="47">
        <f t="shared" si="17"/>
        <v>10.152585999999999</v>
      </c>
      <c r="R43" s="65" t="s">
        <v>76</v>
      </c>
      <c r="S43" s="47">
        <f t="shared" si="6"/>
        <v>3.6549309599999996E-2</v>
      </c>
      <c r="T43" s="47">
        <f t="shared" si="7"/>
        <v>3.6549309599999996E-2</v>
      </c>
      <c r="U43" s="47">
        <f t="shared" si="8"/>
        <v>3.6549309599999996E-2</v>
      </c>
      <c r="V43" s="65" t="s">
        <v>76</v>
      </c>
      <c r="W43">
        <f>SUM(S43:S44)</f>
        <v>6.1749295199999998E-2</v>
      </c>
      <c r="X43">
        <f t="shared" ref="X43:Y43" si="21">SUM(T43:T44)</f>
        <v>6.1749295199999998E-2</v>
      </c>
      <c r="Y43">
        <f t="shared" si="21"/>
        <v>6.1749295199999998E-2</v>
      </c>
    </row>
    <row r="44" spans="1:25" customFormat="1" x14ac:dyDescent="0.2">
      <c r="A44" s="6" t="s">
        <v>76</v>
      </c>
      <c r="B44" s="7">
        <v>6462</v>
      </c>
      <c r="C44" s="6" t="s">
        <v>78</v>
      </c>
      <c r="D44" s="6">
        <v>1</v>
      </c>
      <c r="E44" s="8">
        <v>6999996</v>
      </c>
      <c r="F44" s="8">
        <v>1036</v>
      </c>
      <c r="G44" s="8">
        <v>968</v>
      </c>
      <c r="H44" s="9">
        <v>82.6</v>
      </c>
      <c r="I44" s="24" t="s">
        <v>58</v>
      </c>
      <c r="J44" s="19"/>
      <c r="K44" s="8">
        <v>6999996</v>
      </c>
      <c r="L44" s="8">
        <v>6999996</v>
      </c>
      <c r="M44" s="8">
        <v>6999996</v>
      </c>
      <c r="N44" s="65" t="s">
        <v>76</v>
      </c>
      <c r="O44" s="47">
        <f>K44/1000000</f>
        <v>6.9999960000000003</v>
      </c>
      <c r="P44" s="47">
        <f t="shared" si="16"/>
        <v>6.9999960000000003</v>
      </c>
      <c r="Q44" s="47">
        <f t="shared" si="17"/>
        <v>6.9999960000000003</v>
      </c>
      <c r="R44" s="65" t="s">
        <v>76</v>
      </c>
      <c r="S44" s="47">
        <f t="shared" si="6"/>
        <v>2.5199985600000002E-2</v>
      </c>
      <c r="T44" s="47">
        <f t="shared" si="7"/>
        <v>2.5199985600000002E-2</v>
      </c>
      <c r="U44" s="47">
        <f t="shared" si="8"/>
        <v>2.5199985600000002E-2</v>
      </c>
      <c r="V44" s="65"/>
    </row>
    <row r="45" spans="1:25" customFormat="1" x14ac:dyDescent="0.2">
      <c r="A45" s="10" t="s">
        <v>21</v>
      </c>
      <c r="B45" s="11">
        <v>1590</v>
      </c>
      <c r="C45" s="10" t="s">
        <v>22</v>
      </c>
      <c r="D45" s="10">
        <v>1</v>
      </c>
      <c r="E45" s="12">
        <v>4441563</v>
      </c>
      <c r="F45" s="12">
        <v>670</v>
      </c>
      <c r="G45" s="12">
        <v>679</v>
      </c>
      <c r="H45" s="13">
        <v>74.7</v>
      </c>
      <c r="I45" s="26" t="s">
        <v>23</v>
      </c>
      <c r="J45" s="20">
        <v>2019</v>
      </c>
      <c r="K45" s="12">
        <v>0</v>
      </c>
      <c r="L45" s="12">
        <v>0</v>
      </c>
      <c r="M45" s="12">
        <v>0</v>
      </c>
      <c r="N45" s="65" t="s">
        <v>21</v>
      </c>
      <c r="O45" s="62">
        <f t="shared" ref="O45:O62" si="22">K45/1000000</f>
        <v>0</v>
      </c>
      <c r="P45" s="62">
        <f t="shared" si="16"/>
        <v>0</v>
      </c>
      <c r="Q45" s="62">
        <f t="shared" si="17"/>
        <v>0</v>
      </c>
      <c r="R45" s="65" t="s">
        <v>21</v>
      </c>
      <c r="S45" s="62">
        <f t="shared" si="6"/>
        <v>0</v>
      </c>
      <c r="T45" s="62">
        <f t="shared" si="7"/>
        <v>0</v>
      </c>
      <c r="U45" s="62">
        <f t="shared" si="8"/>
        <v>0</v>
      </c>
      <c r="V45" s="65" t="s">
        <v>21</v>
      </c>
      <c r="W45">
        <f>S45</f>
        <v>0</v>
      </c>
      <c r="X45">
        <f t="shared" ref="X45:Y45" si="23">T45</f>
        <v>0</v>
      </c>
      <c r="Y45">
        <f t="shared" si="23"/>
        <v>0</v>
      </c>
    </row>
    <row r="46" spans="1:25" s="21" customFormat="1" x14ac:dyDescent="0.2">
      <c r="A46" s="6" t="s">
        <v>79</v>
      </c>
      <c r="B46" s="7">
        <v>6011</v>
      </c>
      <c r="C46" s="6" t="s">
        <v>80</v>
      </c>
      <c r="D46" s="6">
        <v>1</v>
      </c>
      <c r="E46" s="8">
        <v>7289367</v>
      </c>
      <c r="F46" s="8">
        <v>918</v>
      </c>
      <c r="G46" s="8">
        <v>866</v>
      </c>
      <c r="H46" s="9">
        <v>96.1</v>
      </c>
      <c r="I46" s="24" t="s">
        <v>58</v>
      </c>
      <c r="J46" s="19"/>
      <c r="K46" s="8">
        <v>7289367</v>
      </c>
      <c r="L46" s="8">
        <v>7289367</v>
      </c>
      <c r="M46" s="8">
        <v>7289367</v>
      </c>
      <c r="N46" s="65" t="s">
        <v>79</v>
      </c>
      <c r="O46" s="47">
        <f t="shared" si="22"/>
        <v>7.2893670000000004</v>
      </c>
      <c r="P46" s="47">
        <f t="shared" si="16"/>
        <v>7.2893670000000004</v>
      </c>
      <c r="Q46" s="47">
        <f t="shared" si="17"/>
        <v>7.2893670000000004</v>
      </c>
      <c r="R46" s="65" t="s">
        <v>79</v>
      </c>
      <c r="S46" s="47">
        <f t="shared" si="6"/>
        <v>2.6241721200000002E-2</v>
      </c>
      <c r="T46" s="47">
        <f t="shared" si="7"/>
        <v>2.6241721200000002E-2</v>
      </c>
      <c r="U46" s="47">
        <f t="shared" si="8"/>
        <v>2.6241721200000002E-2</v>
      </c>
      <c r="V46" s="65" t="s">
        <v>79</v>
      </c>
      <c r="W46" s="21">
        <f>SUM(S46:S47)</f>
        <v>5.39565516E-2</v>
      </c>
      <c r="X46" s="21">
        <f t="shared" ref="X46:Y46" si="24">SUM(T46:T47)</f>
        <v>5.39565516E-2</v>
      </c>
      <c r="Y46" s="21">
        <f t="shared" si="24"/>
        <v>5.39565516E-2</v>
      </c>
    </row>
    <row r="47" spans="1:25" s="21" customFormat="1" x14ac:dyDescent="0.2">
      <c r="A47" s="6" t="s">
        <v>79</v>
      </c>
      <c r="B47" s="7">
        <v>6011</v>
      </c>
      <c r="C47" s="6" t="s">
        <v>80</v>
      </c>
      <c r="D47" s="6">
        <v>2</v>
      </c>
      <c r="E47" s="8">
        <v>7698564</v>
      </c>
      <c r="F47" s="8">
        <v>911</v>
      </c>
      <c r="G47" s="8">
        <v>842</v>
      </c>
      <c r="H47" s="9">
        <v>104.4</v>
      </c>
      <c r="I47" s="24" t="s">
        <v>58</v>
      </c>
      <c r="J47" s="19"/>
      <c r="K47" s="8">
        <v>7698564</v>
      </c>
      <c r="L47" s="8">
        <v>7698564</v>
      </c>
      <c r="M47" s="8">
        <v>7698564</v>
      </c>
      <c r="N47" s="65" t="s">
        <v>79</v>
      </c>
      <c r="O47" s="47">
        <f t="shared" si="22"/>
        <v>7.6985640000000002</v>
      </c>
      <c r="P47" s="47">
        <f t="shared" si="16"/>
        <v>7.6985640000000002</v>
      </c>
      <c r="Q47" s="47">
        <f t="shared" si="17"/>
        <v>7.6985640000000002</v>
      </c>
      <c r="R47" s="65" t="s">
        <v>79</v>
      </c>
      <c r="S47" s="47">
        <f t="shared" si="6"/>
        <v>2.7714830400000001E-2</v>
      </c>
      <c r="T47" s="47">
        <f t="shared" si="7"/>
        <v>2.7714830400000001E-2</v>
      </c>
      <c r="U47" s="47">
        <f t="shared" si="8"/>
        <v>2.7714830400000001E-2</v>
      </c>
      <c r="V47" s="65"/>
    </row>
    <row r="48" spans="1:25" s="21" customFormat="1" x14ac:dyDescent="0.2">
      <c r="A48" s="10" t="s">
        <v>40</v>
      </c>
      <c r="B48" s="11">
        <v>1715</v>
      </c>
      <c r="C48" s="10" t="s">
        <v>41</v>
      </c>
      <c r="D48" s="10">
        <v>1</v>
      </c>
      <c r="E48" s="12">
        <v>5455940</v>
      </c>
      <c r="F48" s="12">
        <v>812</v>
      </c>
      <c r="G48" s="12">
        <v>804</v>
      </c>
      <c r="H48" s="13">
        <v>77.400000000000006</v>
      </c>
      <c r="I48" s="26" t="s">
        <v>23</v>
      </c>
      <c r="J48" s="20">
        <v>2022</v>
      </c>
      <c r="K48" s="12">
        <v>5455940</v>
      </c>
      <c r="L48" s="12">
        <v>0</v>
      </c>
      <c r="M48" s="12">
        <v>0</v>
      </c>
      <c r="N48" s="65" t="s">
        <v>40</v>
      </c>
      <c r="O48" s="62">
        <f t="shared" si="22"/>
        <v>5.45594</v>
      </c>
      <c r="P48" s="62">
        <f t="shared" si="16"/>
        <v>0</v>
      </c>
      <c r="Q48" s="62">
        <f t="shared" si="17"/>
        <v>0</v>
      </c>
      <c r="R48" s="65" t="s">
        <v>40</v>
      </c>
      <c r="S48" s="62">
        <f t="shared" si="6"/>
        <v>1.9641383999999998E-2</v>
      </c>
      <c r="T48" s="62">
        <f t="shared" si="7"/>
        <v>0</v>
      </c>
      <c r="U48" s="62">
        <f t="shared" si="8"/>
        <v>0</v>
      </c>
      <c r="V48" s="65" t="s">
        <v>40</v>
      </c>
      <c r="W48" s="21">
        <f>SUM(S48:S51)</f>
        <v>0.1097232984</v>
      </c>
      <c r="X48" s="21">
        <f t="shared" ref="X48:Y48" si="25">SUM(T48:T51)</f>
        <v>9.0081914399999991E-2</v>
      </c>
      <c r="Y48" s="21">
        <f t="shared" si="25"/>
        <v>9.0081914399999991E-2</v>
      </c>
    </row>
    <row r="49" spans="1:25" s="21" customFormat="1" x14ac:dyDescent="0.2">
      <c r="A49" s="6" t="s">
        <v>40</v>
      </c>
      <c r="B49" s="7">
        <v>1729</v>
      </c>
      <c r="C49" s="6" t="s">
        <v>81</v>
      </c>
      <c r="D49" s="6">
        <v>2</v>
      </c>
      <c r="E49" s="8">
        <v>7411942</v>
      </c>
      <c r="F49" s="8">
        <v>1217</v>
      </c>
      <c r="G49" s="8">
        <v>1141</v>
      </c>
      <c r="H49" s="9">
        <v>74.2</v>
      </c>
      <c r="I49" s="24" t="s">
        <v>58</v>
      </c>
      <c r="J49" s="20"/>
      <c r="K49" s="8">
        <v>7411942</v>
      </c>
      <c r="L49" s="8">
        <v>7411942</v>
      </c>
      <c r="M49" s="8">
        <v>7411942</v>
      </c>
      <c r="N49" s="65" t="s">
        <v>40</v>
      </c>
      <c r="O49" s="47">
        <f t="shared" si="22"/>
        <v>7.4119419999999998</v>
      </c>
      <c r="P49" s="47">
        <f t="shared" si="16"/>
        <v>7.4119419999999998</v>
      </c>
      <c r="Q49" s="47">
        <f t="shared" si="17"/>
        <v>7.4119419999999998</v>
      </c>
      <c r="R49" s="65" t="s">
        <v>40</v>
      </c>
      <c r="S49" s="47">
        <f t="shared" si="6"/>
        <v>2.6682991199999999E-2</v>
      </c>
      <c r="T49" s="47">
        <f t="shared" si="7"/>
        <v>2.6682991199999999E-2</v>
      </c>
      <c r="U49" s="47">
        <f t="shared" si="8"/>
        <v>2.6682991199999999E-2</v>
      </c>
      <c r="V49" s="65"/>
    </row>
    <row r="50" spans="1:25" s="21" customFormat="1" x14ac:dyDescent="0.2">
      <c r="A50" s="6" t="s">
        <v>40</v>
      </c>
      <c r="B50" s="7">
        <v>6000</v>
      </c>
      <c r="C50" s="6" t="s">
        <v>82</v>
      </c>
      <c r="D50" s="6">
        <v>1</v>
      </c>
      <c r="E50" s="8">
        <v>9299538</v>
      </c>
      <c r="F50" s="8">
        <v>1152</v>
      </c>
      <c r="G50" s="8">
        <v>1009</v>
      </c>
      <c r="H50" s="9">
        <v>105.2</v>
      </c>
      <c r="I50" s="24" t="s">
        <v>58</v>
      </c>
      <c r="J50" s="20"/>
      <c r="K50" s="8">
        <v>9299538</v>
      </c>
      <c r="L50" s="8">
        <v>9299538</v>
      </c>
      <c r="M50" s="8">
        <v>9299538</v>
      </c>
      <c r="N50" s="65" t="s">
        <v>40</v>
      </c>
      <c r="O50" s="47">
        <f t="shared" si="22"/>
        <v>9.2995380000000001</v>
      </c>
      <c r="P50" s="47">
        <f t="shared" si="16"/>
        <v>9.2995380000000001</v>
      </c>
      <c r="Q50" s="47">
        <f t="shared" si="17"/>
        <v>9.2995380000000001</v>
      </c>
      <c r="R50" s="65" t="s">
        <v>40</v>
      </c>
      <c r="S50" s="47">
        <f t="shared" si="6"/>
        <v>3.3478336800000001E-2</v>
      </c>
      <c r="T50" s="47">
        <f t="shared" si="7"/>
        <v>3.3478336800000001E-2</v>
      </c>
      <c r="U50" s="47">
        <f t="shared" si="8"/>
        <v>3.3478336800000001E-2</v>
      </c>
      <c r="V50" s="65"/>
    </row>
    <row r="51" spans="1:25" s="21" customFormat="1" x14ac:dyDescent="0.2">
      <c r="A51" s="6" t="s">
        <v>40</v>
      </c>
      <c r="B51" s="7">
        <v>6000</v>
      </c>
      <c r="C51" s="6" t="s">
        <v>82</v>
      </c>
      <c r="D51" s="6">
        <v>2</v>
      </c>
      <c r="E51" s="8">
        <v>8311274</v>
      </c>
      <c r="F51" s="8">
        <v>1133</v>
      </c>
      <c r="G51" s="8">
        <v>1168</v>
      </c>
      <c r="H51" s="9">
        <v>81.2</v>
      </c>
      <c r="I51" s="24" t="s">
        <v>58</v>
      </c>
      <c r="J51" s="20"/>
      <c r="K51" s="8">
        <v>8311274</v>
      </c>
      <c r="L51" s="8">
        <v>8311274</v>
      </c>
      <c r="M51" s="8">
        <v>8311274</v>
      </c>
      <c r="N51" s="65" t="s">
        <v>40</v>
      </c>
      <c r="O51" s="47">
        <f t="shared" si="22"/>
        <v>8.3112739999999992</v>
      </c>
      <c r="P51" s="47">
        <f t="shared" si="16"/>
        <v>8.3112739999999992</v>
      </c>
      <c r="Q51" s="47">
        <f t="shared" si="17"/>
        <v>8.3112739999999992</v>
      </c>
      <c r="R51" s="65" t="s">
        <v>40</v>
      </c>
      <c r="S51" s="47">
        <f t="shared" si="6"/>
        <v>2.9920586399999997E-2</v>
      </c>
      <c r="T51" s="47">
        <f t="shared" si="7"/>
        <v>2.9920586399999997E-2</v>
      </c>
      <c r="U51" s="47">
        <f t="shared" si="8"/>
        <v>2.9920586399999997E-2</v>
      </c>
      <c r="V51" s="65"/>
    </row>
    <row r="52" spans="1:25" s="21" customFormat="1" x14ac:dyDescent="0.2">
      <c r="A52" s="6" t="s">
        <v>83</v>
      </c>
      <c r="B52" s="7">
        <v>1922</v>
      </c>
      <c r="C52" s="6" t="s">
        <v>84</v>
      </c>
      <c r="D52" s="6">
        <v>1</v>
      </c>
      <c r="E52" s="8">
        <v>5618024</v>
      </c>
      <c r="F52" s="8">
        <v>685</v>
      </c>
      <c r="G52" s="8">
        <v>617</v>
      </c>
      <c r="H52" s="9">
        <v>103.9</v>
      </c>
      <c r="I52" s="24" t="s">
        <v>58</v>
      </c>
      <c r="J52" s="20"/>
      <c r="K52" s="8">
        <v>5618024</v>
      </c>
      <c r="L52" s="8">
        <v>5618024</v>
      </c>
      <c r="M52" s="8">
        <v>5618024</v>
      </c>
      <c r="N52" s="65" t="s">
        <v>83</v>
      </c>
      <c r="O52" s="47">
        <f t="shared" si="22"/>
        <v>5.6180240000000001</v>
      </c>
      <c r="P52" s="47">
        <f t="shared" si="16"/>
        <v>5.6180240000000001</v>
      </c>
      <c r="Q52" s="47">
        <f t="shared" si="17"/>
        <v>5.6180240000000001</v>
      </c>
      <c r="R52" s="65" t="s">
        <v>83</v>
      </c>
      <c r="S52" s="47">
        <f t="shared" si="6"/>
        <v>2.0224886399999999E-2</v>
      </c>
      <c r="T52" s="47">
        <f t="shared" si="7"/>
        <v>2.0224886399999999E-2</v>
      </c>
      <c r="U52" s="47">
        <f t="shared" si="8"/>
        <v>2.0224886399999999E-2</v>
      </c>
      <c r="V52" s="65" t="s">
        <v>83</v>
      </c>
      <c r="W52" s="21">
        <f>SUM(S52:S54)</f>
        <v>5.2564784399999995E-2</v>
      </c>
      <c r="X52" s="21">
        <f t="shared" ref="X52:Y52" si="26">SUM(T52:T54)</f>
        <v>5.2564784399999995E-2</v>
      </c>
      <c r="Y52" s="21">
        <f t="shared" si="26"/>
        <v>5.2564784399999995E-2</v>
      </c>
    </row>
    <row r="53" spans="1:25" s="21" customFormat="1" x14ac:dyDescent="0.2">
      <c r="A53" s="6" t="s">
        <v>83</v>
      </c>
      <c r="B53" s="7">
        <v>1925</v>
      </c>
      <c r="C53" s="6" t="s">
        <v>85</v>
      </c>
      <c r="D53" s="6">
        <v>1</v>
      </c>
      <c r="E53" s="8">
        <v>4190471</v>
      </c>
      <c r="F53" s="8">
        <v>593</v>
      </c>
      <c r="G53" s="8">
        <v>521</v>
      </c>
      <c r="H53" s="9">
        <v>91.8</v>
      </c>
      <c r="I53" s="24" t="s">
        <v>58</v>
      </c>
      <c r="J53" s="20"/>
      <c r="K53" s="8">
        <v>4190471</v>
      </c>
      <c r="L53" s="8">
        <v>4190471</v>
      </c>
      <c r="M53" s="8">
        <v>4190471</v>
      </c>
      <c r="N53" s="65" t="s">
        <v>83</v>
      </c>
      <c r="O53" s="47">
        <f t="shared" si="22"/>
        <v>4.1904709999999996</v>
      </c>
      <c r="P53" s="47">
        <f t="shared" si="16"/>
        <v>4.1904709999999996</v>
      </c>
      <c r="Q53" s="47">
        <f t="shared" si="17"/>
        <v>4.1904709999999996</v>
      </c>
      <c r="R53" s="65" t="s">
        <v>83</v>
      </c>
      <c r="S53" s="47">
        <f t="shared" si="6"/>
        <v>1.5085695599999999E-2</v>
      </c>
      <c r="T53" s="47">
        <f t="shared" si="7"/>
        <v>1.5085695599999999E-2</v>
      </c>
      <c r="U53" s="47">
        <f t="shared" si="8"/>
        <v>1.5085695599999999E-2</v>
      </c>
      <c r="V53" s="65"/>
    </row>
    <row r="54" spans="1:25" s="21" customFormat="1" x14ac:dyDescent="0.2">
      <c r="A54" s="6" t="s">
        <v>83</v>
      </c>
      <c r="B54" s="7">
        <v>1925</v>
      </c>
      <c r="C54" s="6" t="s">
        <v>85</v>
      </c>
      <c r="D54" s="6">
        <v>2</v>
      </c>
      <c r="E54" s="8">
        <v>4792834</v>
      </c>
      <c r="F54" s="8">
        <v>593</v>
      </c>
      <c r="G54" s="8">
        <v>519</v>
      </c>
      <c r="H54" s="9">
        <v>105.4</v>
      </c>
      <c r="I54" s="24" t="s">
        <v>58</v>
      </c>
      <c r="J54" s="20"/>
      <c r="K54" s="8">
        <v>4792834</v>
      </c>
      <c r="L54" s="8">
        <v>4792834</v>
      </c>
      <c r="M54" s="8">
        <v>4792834</v>
      </c>
      <c r="N54" s="65" t="s">
        <v>83</v>
      </c>
      <c r="O54" s="47">
        <f t="shared" si="22"/>
        <v>4.792834</v>
      </c>
      <c r="P54" s="47">
        <f t="shared" si="16"/>
        <v>4.792834</v>
      </c>
      <c r="Q54" s="47">
        <f t="shared" si="17"/>
        <v>4.792834</v>
      </c>
      <c r="R54" s="65" t="s">
        <v>83</v>
      </c>
      <c r="S54" s="47">
        <f t="shared" si="6"/>
        <v>1.7254202399999998E-2</v>
      </c>
      <c r="T54" s="47">
        <f t="shared" si="7"/>
        <v>1.7254202399999998E-2</v>
      </c>
      <c r="U54" s="47">
        <f t="shared" si="8"/>
        <v>1.7254202399999998E-2</v>
      </c>
      <c r="V54" s="65"/>
    </row>
    <row r="55" spans="1:25" s="21" customFormat="1" x14ac:dyDescent="0.2">
      <c r="A55" s="6" t="s">
        <v>88</v>
      </c>
      <c r="B55" s="7">
        <v>6153</v>
      </c>
      <c r="C55" s="6" t="s">
        <v>89</v>
      </c>
      <c r="D55" s="6">
        <v>1</v>
      </c>
      <c r="E55" s="8">
        <v>10655279</v>
      </c>
      <c r="F55" s="8">
        <v>1236</v>
      </c>
      <c r="G55" s="8">
        <v>1190</v>
      </c>
      <c r="H55" s="9">
        <v>102.2</v>
      </c>
      <c r="I55" s="24" t="s">
        <v>58</v>
      </c>
      <c r="J55" s="20"/>
      <c r="K55" s="8">
        <v>10655279</v>
      </c>
      <c r="L55" s="8">
        <v>10655279</v>
      </c>
      <c r="M55" s="8">
        <v>10655279</v>
      </c>
      <c r="N55" s="65" t="s">
        <v>88</v>
      </c>
      <c r="O55" s="47">
        <f t="shared" si="22"/>
        <v>10.655279</v>
      </c>
      <c r="P55" s="47">
        <f t="shared" si="16"/>
        <v>10.655279</v>
      </c>
      <c r="Q55" s="47">
        <f t="shared" si="17"/>
        <v>10.655279</v>
      </c>
      <c r="R55" s="65" t="s">
        <v>88</v>
      </c>
      <c r="S55" s="47">
        <f t="shared" si="6"/>
        <v>3.8359004400000001E-2</v>
      </c>
      <c r="T55" s="47">
        <f t="shared" si="7"/>
        <v>3.8359004400000001E-2</v>
      </c>
      <c r="U55" s="47">
        <f t="shared" si="8"/>
        <v>3.8359004400000001E-2</v>
      </c>
      <c r="V55" s="65" t="s">
        <v>88</v>
      </c>
      <c r="W55" s="21">
        <f>S55</f>
        <v>3.8359004400000001E-2</v>
      </c>
      <c r="X55" s="21">
        <f t="shared" ref="X55:Y56" si="27">T55</f>
        <v>3.8359004400000001E-2</v>
      </c>
      <c r="Y55" s="21">
        <f t="shared" si="27"/>
        <v>3.8359004400000001E-2</v>
      </c>
    </row>
    <row r="56" spans="1:25" s="21" customFormat="1" x14ac:dyDescent="0.2">
      <c r="A56" s="6" t="s">
        <v>86</v>
      </c>
      <c r="B56" s="7">
        <v>6072</v>
      </c>
      <c r="C56" s="6" t="s">
        <v>87</v>
      </c>
      <c r="D56" s="6">
        <v>1</v>
      </c>
      <c r="E56" s="8">
        <v>6919470</v>
      </c>
      <c r="F56" s="8">
        <v>1440</v>
      </c>
      <c r="G56" s="8">
        <v>1401</v>
      </c>
      <c r="H56" s="9">
        <v>56.4</v>
      </c>
      <c r="I56" s="24" t="s">
        <v>58</v>
      </c>
      <c r="J56" s="20"/>
      <c r="K56" s="8">
        <v>6919470</v>
      </c>
      <c r="L56" s="8">
        <v>6919470</v>
      </c>
      <c r="M56" s="8">
        <v>6919470</v>
      </c>
      <c r="N56" s="65" t="s">
        <v>86</v>
      </c>
      <c r="O56" s="47">
        <f t="shared" si="22"/>
        <v>6.9194699999999996</v>
      </c>
      <c r="P56" s="47">
        <f t="shared" si="16"/>
        <v>6.9194699999999996</v>
      </c>
      <c r="Q56" s="47">
        <f t="shared" si="17"/>
        <v>6.9194699999999996</v>
      </c>
      <c r="R56" s="65" t="s">
        <v>86</v>
      </c>
      <c r="S56" s="47">
        <f t="shared" si="6"/>
        <v>2.4910091999999998E-2</v>
      </c>
      <c r="T56" s="47">
        <f t="shared" si="7"/>
        <v>2.4910091999999998E-2</v>
      </c>
      <c r="U56" s="47">
        <f t="shared" si="8"/>
        <v>2.4910091999999998E-2</v>
      </c>
      <c r="V56" s="65" t="s">
        <v>86</v>
      </c>
      <c r="W56" s="21">
        <f>S56</f>
        <v>2.4910091999999998E-2</v>
      </c>
      <c r="X56" s="21">
        <f t="shared" si="27"/>
        <v>2.4910091999999998E-2</v>
      </c>
      <c r="Y56" s="21">
        <f t="shared" si="27"/>
        <v>2.4910091999999998E-2</v>
      </c>
    </row>
    <row r="57" spans="1:25" s="21" customFormat="1" x14ac:dyDescent="0.2">
      <c r="A57" s="6" t="s">
        <v>90</v>
      </c>
      <c r="B57" s="7">
        <v>6014</v>
      </c>
      <c r="C57" s="6" t="s">
        <v>91</v>
      </c>
      <c r="D57" s="6">
        <v>1</v>
      </c>
      <c r="E57" s="8">
        <v>7094066</v>
      </c>
      <c r="F57" s="8">
        <v>1002</v>
      </c>
      <c r="G57" s="8">
        <v>938</v>
      </c>
      <c r="H57" s="9">
        <v>86.3</v>
      </c>
      <c r="I57" s="24" t="s">
        <v>58</v>
      </c>
      <c r="J57" s="20"/>
      <c r="K57" s="8">
        <v>7094066</v>
      </c>
      <c r="L57" s="8">
        <v>7094066</v>
      </c>
      <c r="M57" s="8">
        <v>7094066</v>
      </c>
      <c r="N57" s="65" t="s">
        <v>90</v>
      </c>
      <c r="O57" s="47">
        <f t="shared" si="22"/>
        <v>7.0940659999999998</v>
      </c>
      <c r="P57" s="47">
        <f t="shared" si="16"/>
        <v>7.0940659999999998</v>
      </c>
      <c r="Q57" s="47">
        <f t="shared" si="17"/>
        <v>7.0940659999999998</v>
      </c>
      <c r="R57" s="65" t="s">
        <v>90</v>
      </c>
      <c r="S57" s="47">
        <f t="shared" si="6"/>
        <v>2.5538637599999997E-2</v>
      </c>
      <c r="T57" s="47">
        <f t="shared" si="7"/>
        <v>2.5538637599999997E-2</v>
      </c>
      <c r="U57" s="47">
        <f t="shared" si="8"/>
        <v>2.5538637599999997E-2</v>
      </c>
      <c r="V57" s="65" t="s">
        <v>90</v>
      </c>
      <c r="W57" s="21">
        <f>SUM(S57:S61)</f>
        <v>0.1514770164</v>
      </c>
      <c r="X57" s="21">
        <f t="shared" ref="X57:Y57" si="28">SUM(T57:T61)</f>
        <v>0.1514770164</v>
      </c>
      <c r="Y57" s="21">
        <f t="shared" si="28"/>
        <v>0.1514770164</v>
      </c>
    </row>
    <row r="58" spans="1:25" s="21" customFormat="1" x14ac:dyDescent="0.2">
      <c r="A58" s="6" t="s">
        <v>90</v>
      </c>
      <c r="B58" s="7">
        <v>6014</v>
      </c>
      <c r="C58" s="6" t="s">
        <v>91</v>
      </c>
      <c r="D58" s="6">
        <v>2</v>
      </c>
      <c r="E58" s="8">
        <v>7532901</v>
      </c>
      <c r="F58" s="8">
        <v>1002</v>
      </c>
      <c r="G58" s="8">
        <v>932</v>
      </c>
      <c r="H58" s="9">
        <v>92.3</v>
      </c>
      <c r="I58" s="24" t="s">
        <v>58</v>
      </c>
      <c r="J58" s="20"/>
      <c r="K58" s="8">
        <v>7532901</v>
      </c>
      <c r="L58" s="8">
        <v>7532901</v>
      </c>
      <c r="M58" s="8">
        <v>7532901</v>
      </c>
      <c r="N58" s="65" t="s">
        <v>90</v>
      </c>
      <c r="O58" s="47">
        <f t="shared" si="22"/>
        <v>7.5329009999999998</v>
      </c>
      <c r="P58" s="47">
        <f t="shared" si="16"/>
        <v>7.5329009999999998</v>
      </c>
      <c r="Q58" s="47">
        <f t="shared" si="17"/>
        <v>7.5329009999999998</v>
      </c>
      <c r="R58" s="65" t="s">
        <v>90</v>
      </c>
      <c r="S58" s="47">
        <f t="shared" si="6"/>
        <v>2.71184436E-2</v>
      </c>
      <c r="T58" s="47">
        <f t="shared" si="7"/>
        <v>2.71184436E-2</v>
      </c>
      <c r="U58" s="47">
        <f t="shared" si="8"/>
        <v>2.71184436E-2</v>
      </c>
      <c r="V58" s="65"/>
    </row>
    <row r="59" spans="1:25" s="21" customFormat="1" x14ac:dyDescent="0.2">
      <c r="A59" s="6" t="s">
        <v>90</v>
      </c>
      <c r="B59" s="7">
        <v>6015</v>
      </c>
      <c r="C59" s="6" t="s">
        <v>92</v>
      </c>
      <c r="D59" s="6">
        <v>1</v>
      </c>
      <c r="E59" s="8">
        <v>7587914</v>
      </c>
      <c r="F59" s="8">
        <v>951</v>
      </c>
      <c r="G59" s="8">
        <v>932</v>
      </c>
      <c r="H59" s="9">
        <v>92.9</v>
      </c>
      <c r="I59" s="24" t="s">
        <v>58</v>
      </c>
      <c r="J59" s="20"/>
      <c r="K59" s="8">
        <v>7587914</v>
      </c>
      <c r="L59" s="8">
        <v>7587914</v>
      </c>
      <c r="M59" s="8">
        <v>7587914</v>
      </c>
      <c r="N59" s="65" t="s">
        <v>90</v>
      </c>
      <c r="O59" s="47">
        <f t="shared" si="22"/>
        <v>7.5879139999999996</v>
      </c>
      <c r="P59" s="47">
        <f t="shared" si="16"/>
        <v>7.5879139999999996</v>
      </c>
      <c r="Q59" s="47">
        <f t="shared" si="17"/>
        <v>7.5879139999999996</v>
      </c>
      <c r="R59" s="65" t="s">
        <v>90</v>
      </c>
      <c r="S59" s="47">
        <f t="shared" si="6"/>
        <v>2.7316490399999997E-2</v>
      </c>
      <c r="T59" s="47">
        <f t="shared" si="7"/>
        <v>2.7316490399999997E-2</v>
      </c>
      <c r="U59" s="47">
        <f t="shared" si="8"/>
        <v>2.7316490399999997E-2</v>
      </c>
      <c r="V59" s="65"/>
    </row>
    <row r="60" spans="1:25" s="21" customFormat="1" x14ac:dyDescent="0.2">
      <c r="A60" s="6" t="s">
        <v>90</v>
      </c>
      <c r="B60" s="7">
        <v>6038</v>
      </c>
      <c r="C60" s="6" t="s">
        <v>93</v>
      </c>
      <c r="D60" s="6">
        <v>1</v>
      </c>
      <c r="E60" s="8">
        <v>10359250</v>
      </c>
      <c r="F60" s="8">
        <v>1220</v>
      </c>
      <c r="G60" s="8">
        <v>1158</v>
      </c>
      <c r="H60" s="9">
        <v>102.1</v>
      </c>
      <c r="I60" s="24" t="s">
        <v>58</v>
      </c>
      <c r="J60" s="20"/>
      <c r="K60" s="8">
        <v>10359250</v>
      </c>
      <c r="L60" s="8">
        <v>10359250</v>
      </c>
      <c r="M60" s="8">
        <v>10359250</v>
      </c>
      <c r="N60" s="65" t="s">
        <v>90</v>
      </c>
      <c r="O60" s="47">
        <f t="shared" si="22"/>
        <v>10.359249999999999</v>
      </c>
      <c r="P60" s="47">
        <f t="shared" si="16"/>
        <v>10.359249999999999</v>
      </c>
      <c r="Q60" s="47">
        <f t="shared" si="17"/>
        <v>10.359249999999999</v>
      </c>
      <c r="R60" s="65" t="s">
        <v>90</v>
      </c>
      <c r="S60" s="47">
        <f t="shared" si="6"/>
        <v>3.7293299999999995E-2</v>
      </c>
      <c r="T60" s="47">
        <f t="shared" si="7"/>
        <v>3.7293299999999995E-2</v>
      </c>
      <c r="U60" s="47">
        <f t="shared" si="8"/>
        <v>3.7293299999999995E-2</v>
      </c>
      <c r="V60" s="65"/>
    </row>
    <row r="61" spans="1:25" s="21" customFormat="1" x14ac:dyDescent="0.2">
      <c r="A61" s="6" t="s">
        <v>90</v>
      </c>
      <c r="B61" s="7">
        <v>6038</v>
      </c>
      <c r="C61" s="6" t="s">
        <v>93</v>
      </c>
      <c r="D61" s="6">
        <v>2</v>
      </c>
      <c r="E61" s="8">
        <v>9502818</v>
      </c>
      <c r="F61" s="8">
        <v>1220</v>
      </c>
      <c r="G61" s="8">
        <v>1158</v>
      </c>
      <c r="H61" s="9">
        <v>93.7</v>
      </c>
      <c r="I61" s="24" t="s">
        <v>58</v>
      </c>
      <c r="J61" s="20"/>
      <c r="K61" s="8">
        <v>9502818</v>
      </c>
      <c r="L61" s="8">
        <v>9502818</v>
      </c>
      <c r="M61" s="8">
        <v>9502818</v>
      </c>
      <c r="N61" s="65" t="s">
        <v>90</v>
      </c>
      <c r="O61" s="47">
        <f t="shared" si="22"/>
        <v>9.5028179999999995</v>
      </c>
      <c r="P61" s="47">
        <f t="shared" si="16"/>
        <v>9.5028179999999995</v>
      </c>
      <c r="Q61" s="47">
        <f t="shared" si="17"/>
        <v>9.5028179999999995</v>
      </c>
      <c r="R61" s="65" t="s">
        <v>90</v>
      </c>
      <c r="S61" s="47">
        <f t="shared" si="6"/>
        <v>3.4210144799999995E-2</v>
      </c>
      <c r="T61" s="47">
        <f t="shared" si="7"/>
        <v>3.4210144799999995E-2</v>
      </c>
      <c r="U61" s="47">
        <f t="shared" si="8"/>
        <v>3.4210144799999995E-2</v>
      </c>
      <c r="V61" s="65"/>
    </row>
    <row r="62" spans="1:25" s="21" customFormat="1" x14ac:dyDescent="0.2">
      <c r="A62" s="6" t="s">
        <v>94</v>
      </c>
      <c r="B62" s="7">
        <v>8036</v>
      </c>
      <c r="C62" s="6" t="s">
        <v>95</v>
      </c>
      <c r="D62" s="6">
        <v>1</v>
      </c>
      <c r="E62" s="8">
        <v>5632140</v>
      </c>
      <c r="F62" s="8">
        <v>801</v>
      </c>
      <c r="G62" s="8">
        <v>770</v>
      </c>
      <c r="H62" s="9">
        <v>83.5</v>
      </c>
      <c r="I62" s="24" t="s">
        <v>58</v>
      </c>
      <c r="J62" s="20"/>
      <c r="K62" s="8">
        <v>5632140</v>
      </c>
      <c r="L62" s="8">
        <v>5632140</v>
      </c>
      <c r="M62" s="8">
        <v>5632140</v>
      </c>
      <c r="N62" s="65" t="s">
        <v>94</v>
      </c>
      <c r="O62" s="47">
        <f t="shared" si="22"/>
        <v>5.6321399999999997</v>
      </c>
      <c r="P62" s="47">
        <f t="shared" si="16"/>
        <v>5.6321399999999997</v>
      </c>
      <c r="Q62" s="47">
        <f t="shared" si="17"/>
        <v>5.6321399999999997</v>
      </c>
      <c r="R62" s="65" t="s">
        <v>94</v>
      </c>
      <c r="S62" s="47">
        <f t="shared" si="6"/>
        <v>2.0275703999999999E-2</v>
      </c>
      <c r="T62" s="47">
        <f t="shared" si="7"/>
        <v>2.0275703999999999E-2</v>
      </c>
      <c r="U62" s="47">
        <f t="shared" si="8"/>
        <v>2.0275703999999999E-2</v>
      </c>
      <c r="V62" s="65" t="s">
        <v>94</v>
      </c>
      <c r="W62" s="21">
        <f>S62</f>
        <v>2.0275703999999999E-2</v>
      </c>
      <c r="X62" s="21">
        <f t="shared" ref="X62:Y63" si="29">T62</f>
        <v>2.0275703999999999E-2</v>
      </c>
      <c r="Y62" s="21">
        <f t="shared" si="29"/>
        <v>2.0275703999999999E-2</v>
      </c>
    </row>
    <row r="63" spans="1:25" s="21" customFormat="1" x14ac:dyDescent="0.2">
      <c r="A63" s="6" t="s">
        <v>96</v>
      </c>
      <c r="B63" s="7">
        <v>6115</v>
      </c>
      <c r="C63" s="6" t="s">
        <v>97</v>
      </c>
      <c r="D63" s="6">
        <v>1</v>
      </c>
      <c r="E63" s="8">
        <v>10061696</v>
      </c>
      <c r="F63" s="8">
        <v>1242</v>
      </c>
      <c r="G63" s="8">
        <v>1251</v>
      </c>
      <c r="H63" s="9">
        <v>91.8</v>
      </c>
      <c r="I63" s="24" t="s">
        <v>58</v>
      </c>
      <c r="J63" s="20"/>
      <c r="K63" s="8">
        <v>10061696</v>
      </c>
      <c r="L63" s="8">
        <v>10061696</v>
      </c>
      <c r="M63" s="8">
        <v>10061696</v>
      </c>
      <c r="N63" s="65" t="s">
        <v>96</v>
      </c>
      <c r="O63" s="47">
        <f>K63/1000000</f>
        <v>10.061696</v>
      </c>
      <c r="P63" s="47">
        <f t="shared" si="16"/>
        <v>10.061696</v>
      </c>
      <c r="Q63" s="47">
        <f t="shared" si="17"/>
        <v>10.061696</v>
      </c>
      <c r="R63" s="65" t="s">
        <v>96</v>
      </c>
      <c r="S63" s="47">
        <f t="shared" si="6"/>
        <v>3.6222105599999999E-2</v>
      </c>
      <c r="T63" s="47">
        <f t="shared" si="7"/>
        <v>3.6222105599999999E-2</v>
      </c>
      <c r="U63" s="47">
        <f t="shared" si="8"/>
        <v>3.6222105599999999E-2</v>
      </c>
      <c r="V63" s="65" t="s">
        <v>96</v>
      </c>
      <c r="W63" s="21">
        <f>S63</f>
        <v>3.6222105599999999E-2</v>
      </c>
      <c r="X63" s="21">
        <f t="shared" si="29"/>
        <v>3.6222105599999999E-2</v>
      </c>
      <c r="Y63" s="21">
        <f t="shared" si="29"/>
        <v>3.6222105599999999E-2</v>
      </c>
    </row>
    <row r="64" spans="1:25" s="21" customFormat="1" x14ac:dyDescent="0.2">
      <c r="A64" s="10" t="s">
        <v>24</v>
      </c>
      <c r="B64" s="11">
        <v>2388</v>
      </c>
      <c r="C64" s="10" t="s">
        <v>25</v>
      </c>
      <c r="D64" s="10">
        <v>1</v>
      </c>
      <c r="E64" s="12">
        <v>3540315</v>
      </c>
      <c r="F64" s="12" t="s">
        <v>26</v>
      </c>
      <c r="G64" s="12" t="s">
        <v>26</v>
      </c>
      <c r="H64" s="13" t="s">
        <v>26</v>
      </c>
      <c r="I64" s="26" t="s">
        <v>23</v>
      </c>
      <c r="J64" s="20">
        <v>2018</v>
      </c>
      <c r="K64" s="12">
        <v>0</v>
      </c>
      <c r="L64" s="12">
        <v>0</v>
      </c>
      <c r="M64" s="12">
        <v>0</v>
      </c>
      <c r="N64" s="65" t="s">
        <v>24</v>
      </c>
      <c r="O64" s="62">
        <f t="shared" ref="O64:O66" si="30">K64/1000000</f>
        <v>0</v>
      </c>
      <c r="P64" s="62">
        <f t="shared" ref="P64:P106" si="31">L64/1000000</f>
        <v>0</v>
      </c>
      <c r="Q64" s="62">
        <f t="shared" ref="Q64:Q106" si="32">M64/1000000</f>
        <v>0</v>
      </c>
      <c r="R64" s="65" t="s">
        <v>24</v>
      </c>
      <c r="S64" s="62">
        <f t="shared" si="6"/>
        <v>0</v>
      </c>
      <c r="T64" s="62">
        <f t="shared" si="7"/>
        <v>0</v>
      </c>
      <c r="U64" s="62">
        <f t="shared" si="8"/>
        <v>0</v>
      </c>
      <c r="V64" s="65" t="s">
        <v>24</v>
      </c>
      <c r="W64" s="21">
        <f>SUM(S64:S67)</f>
        <v>0.10239044760000002</v>
      </c>
      <c r="X64" s="21">
        <f t="shared" ref="X64:Y64" si="33">SUM(T64:T67)</f>
        <v>0.10239044760000002</v>
      </c>
      <c r="Y64" s="21">
        <f t="shared" si="33"/>
        <v>0.10239044760000002</v>
      </c>
    </row>
    <row r="65" spans="1:25" s="21" customFormat="1" x14ac:dyDescent="0.2">
      <c r="A65" s="14" t="s">
        <v>24</v>
      </c>
      <c r="B65" s="15">
        <v>2410</v>
      </c>
      <c r="C65" s="14" t="s">
        <v>48</v>
      </c>
      <c r="D65" s="14">
        <v>1</v>
      </c>
      <c r="E65" s="16">
        <v>10177507</v>
      </c>
      <c r="F65" s="16">
        <v>1170</v>
      </c>
      <c r="G65" s="16">
        <v>1170</v>
      </c>
      <c r="H65" s="17">
        <v>99.3</v>
      </c>
      <c r="I65" s="25" t="s">
        <v>44</v>
      </c>
      <c r="J65" s="20"/>
      <c r="K65" s="16">
        <v>10177507</v>
      </c>
      <c r="L65" s="16">
        <v>10177507</v>
      </c>
      <c r="M65" s="16">
        <v>10177507</v>
      </c>
      <c r="N65" s="65" t="s">
        <v>24</v>
      </c>
      <c r="O65" s="61">
        <f t="shared" si="30"/>
        <v>10.177507</v>
      </c>
      <c r="P65" s="61">
        <f t="shared" si="31"/>
        <v>10.177507</v>
      </c>
      <c r="Q65" s="61">
        <f t="shared" si="32"/>
        <v>10.177507</v>
      </c>
      <c r="R65" s="65" t="s">
        <v>24</v>
      </c>
      <c r="S65" s="61">
        <f t="shared" si="6"/>
        <v>3.6639025200000001E-2</v>
      </c>
      <c r="T65" s="61">
        <f t="shared" si="7"/>
        <v>3.6639025200000001E-2</v>
      </c>
      <c r="U65" s="61">
        <f t="shared" si="8"/>
        <v>3.6639025200000001E-2</v>
      </c>
      <c r="V65" s="65"/>
    </row>
    <row r="66" spans="1:25" s="21" customFormat="1" x14ac:dyDescent="0.2">
      <c r="A66" s="14" t="s">
        <v>24</v>
      </c>
      <c r="B66" s="15">
        <v>2410</v>
      </c>
      <c r="C66" s="14" t="s">
        <v>48</v>
      </c>
      <c r="D66" s="14">
        <v>2</v>
      </c>
      <c r="E66" s="16">
        <v>8717600</v>
      </c>
      <c r="F66" s="16">
        <v>1170</v>
      </c>
      <c r="G66" s="16">
        <v>1158</v>
      </c>
      <c r="H66" s="17">
        <v>85.9</v>
      </c>
      <c r="I66" s="25" t="s">
        <v>44</v>
      </c>
      <c r="J66" s="20"/>
      <c r="K66" s="16">
        <v>8717600</v>
      </c>
      <c r="L66" s="16">
        <v>8717600</v>
      </c>
      <c r="M66" s="16">
        <v>8717600</v>
      </c>
      <c r="N66" s="65" t="s">
        <v>24</v>
      </c>
      <c r="O66" s="61">
        <f t="shared" si="30"/>
        <v>8.7175999999999991</v>
      </c>
      <c r="P66" s="61">
        <f t="shared" si="31"/>
        <v>8.7175999999999991</v>
      </c>
      <c r="Q66" s="61">
        <f t="shared" si="32"/>
        <v>8.7175999999999991</v>
      </c>
      <c r="R66" s="65" t="s">
        <v>24</v>
      </c>
      <c r="S66" s="61">
        <f t="shared" si="6"/>
        <v>3.1383359999999999E-2</v>
      </c>
      <c r="T66" s="61">
        <f t="shared" si="7"/>
        <v>3.1383359999999999E-2</v>
      </c>
      <c r="U66" s="61">
        <f t="shared" si="8"/>
        <v>3.1383359999999999E-2</v>
      </c>
      <c r="V66" s="65"/>
    </row>
    <row r="67" spans="1:25" s="21" customFormat="1" ht="29" x14ac:dyDescent="0.2">
      <c r="A67" s="14" t="s">
        <v>24</v>
      </c>
      <c r="B67" s="15">
        <v>6118</v>
      </c>
      <c r="C67" s="14" t="s">
        <v>49</v>
      </c>
      <c r="D67" s="14">
        <v>1</v>
      </c>
      <c r="E67" s="16">
        <v>9546684</v>
      </c>
      <c r="F67" s="16">
        <v>1291</v>
      </c>
      <c r="G67" s="16">
        <v>1172</v>
      </c>
      <c r="H67" s="17">
        <v>93</v>
      </c>
      <c r="I67" s="25" t="s">
        <v>44</v>
      </c>
      <c r="J67" s="20"/>
      <c r="K67" s="16">
        <v>9546684</v>
      </c>
      <c r="L67" s="16">
        <v>9546684</v>
      </c>
      <c r="M67" s="16">
        <v>9546684</v>
      </c>
      <c r="N67" s="65" t="s">
        <v>24</v>
      </c>
      <c r="O67" s="61">
        <f>K67/1000000</f>
        <v>9.5466840000000008</v>
      </c>
      <c r="P67" s="61">
        <f t="shared" si="31"/>
        <v>9.5466840000000008</v>
      </c>
      <c r="Q67" s="61">
        <f t="shared" si="32"/>
        <v>9.5466840000000008</v>
      </c>
      <c r="R67" s="65" t="s">
        <v>24</v>
      </c>
      <c r="S67" s="61">
        <f t="shared" si="6"/>
        <v>3.4368062400000003E-2</v>
      </c>
      <c r="T67" s="61">
        <f t="shared" si="7"/>
        <v>3.4368062400000003E-2</v>
      </c>
      <c r="U67" s="61">
        <f t="shared" si="8"/>
        <v>3.4368062400000003E-2</v>
      </c>
      <c r="V67" s="65"/>
    </row>
    <row r="68" spans="1:25" s="21" customFormat="1" x14ac:dyDescent="0.2">
      <c r="A68" s="10" t="s">
        <v>33</v>
      </c>
      <c r="B68" s="11">
        <v>2497</v>
      </c>
      <c r="C68" s="10" t="s">
        <v>34</v>
      </c>
      <c r="D68" s="10">
        <v>2</v>
      </c>
      <c r="E68" s="12">
        <v>8018479</v>
      </c>
      <c r="F68" s="12">
        <v>1299</v>
      </c>
      <c r="G68" s="12">
        <v>1019</v>
      </c>
      <c r="H68" s="13">
        <v>89.9</v>
      </c>
      <c r="I68" s="26" t="s">
        <v>23</v>
      </c>
      <c r="J68" s="20">
        <v>2020</v>
      </c>
      <c r="K68" s="12">
        <v>8018479</v>
      </c>
      <c r="L68" s="12">
        <v>0</v>
      </c>
      <c r="M68" s="12">
        <v>0</v>
      </c>
      <c r="N68" s="65" t="s">
        <v>33</v>
      </c>
      <c r="O68" s="62">
        <f t="shared" ref="O68:O83" si="34">K68/1000000</f>
        <v>8.0184789999999992</v>
      </c>
      <c r="P68" s="62">
        <f t="shared" si="31"/>
        <v>0</v>
      </c>
      <c r="Q68" s="62">
        <f t="shared" si="32"/>
        <v>0</v>
      </c>
      <c r="R68" s="65" t="s">
        <v>33</v>
      </c>
      <c r="S68" s="62">
        <f t="shared" si="6"/>
        <v>2.8866524399999996E-2</v>
      </c>
      <c r="T68" s="62">
        <f t="shared" si="7"/>
        <v>0</v>
      </c>
      <c r="U68" s="62">
        <f t="shared" si="8"/>
        <v>0</v>
      </c>
      <c r="V68" s="65" t="s">
        <v>33</v>
      </c>
      <c r="W68" s="21">
        <f>SUM(S68:S73)</f>
        <v>0.15450843959999999</v>
      </c>
      <c r="X68" s="21">
        <f t="shared" ref="X68:Y68" si="35">SUM(T68:T73)</f>
        <v>9.5760183599999993E-2</v>
      </c>
      <c r="Y68" s="21">
        <f t="shared" si="35"/>
        <v>9.5760183599999993E-2</v>
      </c>
    </row>
    <row r="69" spans="1:25" s="21" customFormat="1" x14ac:dyDescent="0.2">
      <c r="A69" s="10" t="s">
        <v>33</v>
      </c>
      <c r="B69" s="11">
        <v>8907</v>
      </c>
      <c r="C69" s="10" t="s">
        <v>35</v>
      </c>
      <c r="D69" s="10">
        <v>3</v>
      </c>
      <c r="E69" s="12">
        <v>8300481</v>
      </c>
      <c r="F69" s="12">
        <v>1012</v>
      </c>
      <c r="G69" s="12">
        <v>1038</v>
      </c>
      <c r="H69" s="13">
        <v>91.3</v>
      </c>
      <c r="I69" s="26" t="s">
        <v>23</v>
      </c>
      <c r="J69" s="20">
        <v>2021</v>
      </c>
      <c r="K69" s="12">
        <v>8300481</v>
      </c>
      <c r="L69" s="12">
        <v>0</v>
      </c>
      <c r="M69" s="12">
        <v>0</v>
      </c>
      <c r="N69" s="65" t="s">
        <v>33</v>
      </c>
      <c r="O69" s="62">
        <f t="shared" si="34"/>
        <v>8.3004809999999996</v>
      </c>
      <c r="P69" s="62">
        <f t="shared" si="31"/>
        <v>0</v>
      </c>
      <c r="Q69" s="62">
        <f t="shared" si="32"/>
        <v>0</v>
      </c>
      <c r="R69" s="65" t="s">
        <v>33</v>
      </c>
      <c r="S69" s="62">
        <f t="shared" si="6"/>
        <v>2.9881731599999999E-2</v>
      </c>
      <c r="T69" s="62">
        <f t="shared" si="7"/>
        <v>0</v>
      </c>
      <c r="U69" s="62">
        <f t="shared" si="8"/>
        <v>0</v>
      </c>
      <c r="V69" s="65"/>
    </row>
    <row r="70" spans="1:25" s="21" customFormat="1" x14ac:dyDescent="0.2">
      <c r="A70" s="14" t="s">
        <v>33</v>
      </c>
      <c r="B70" s="15">
        <v>2589</v>
      </c>
      <c r="C70" s="14" t="s">
        <v>50</v>
      </c>
      <c r="D70" s="14">
        <v>1</v>
      </c>
      <c r="E70" s="16">
        <v>5277940</v>
      </c>
      <c r="F70" s="16">
        <v>642</v>
      </c>
      <c r="G70" s="16">
        <v>625</v>
      </c>
      <c r="H70" s="17">
        <v>96.4</v>
      </c>
      <c r="I70" s="25" t="s">
        <v>44</v>
      </c>
      <c r="J70" s="20"/>
      <c r="K70" s="16">
        <v>5277940</v>
      </c>
      <c r="L70" s="16">
        <v>5277940</v>
      </c>
      <c r="M70" s="16">
        <v>5277940</v>
      </c>
      <c r="N70" s="65" t="s">
        <v>33</v>
      </c>
      <c r="O70" s="61">
        <f t="shared" si="34"/>
        <v>5.2779400000000001</v>
      </c>
      <c r="P70" s="61">
        <f t="shared" si="31"/>
        <v>5.2779400000000001</v>
      </c>
      <c r="Q70" s="61">
        <f t="shared" si="32"/>
        <v>5.2779400000000001</v>
      </c>
      <c r="R70" s="65" t="s">
        <v>33</v>
      </c>
      <c r="S70" s="61">
        <f t="shared" si="6"/>
        <v>1.9000584000000001E-2</v>
      </c>
      <c r="T70" s="61">
        <f t="shared" si="7"/>
        <v>1.9000584000000001E-2</v>
      </c>
      <c r="U70" s="61">
        <f t="shared" si="8"/>
        <v>1.9000584000000001E-2</v>
      </c>
      <c r="V70" s="65"/>
    </row>
    <row r="71" spans="1:25" s="21" customFormat="1" x14ac:dyDescent="0.2">
      <c r="A71" s="14" t="s">
        <v>33</v>
      </c>
      <c r="B71" s="15">
        <v>6110</v>
      </c>
      <c r="C71" s="14" t="s">
        <v>51</v>
      </c>
      <c r="D71" s="14">
        <v>1</v>
      </c>
      <c r="E71" s="16">
        <v>6527781</v>
      </c>
      <c r="F71" s="16">
        <v>883</v>
      </c>
      <c r="G71" s="16">
        <v>851</v>
      </c>
      <c r="H71" s="17">
        <v>87.6</v>
      </c>
      <c r="I71" s="25" t="s">
        <v>44</v>
      </c>
      <c r="J71" s="20"/>
      <c r="K71" s="16">
        <v>6527781</v>
      </c>
      <c r="L71" s="16">
        <v>6527781</v>
      </c>
      <c r="M71" s="16">
        <v>6527781</v>
      </c>
      <c r="N71" s="65" t="s">
        <v>33</v>
      </c>
      <c r="O71" s="61">
        <f t="shared" si="34"/>
        <v>6.5277810000000001</v>
      </c>
      <c r="P71" s="61">
        <f t="shared" si="31"/>
        <v>6.5277810000000001</v>
      </c>
      <c r="Q71" s="61">
        <f t="shared" si="32"/>
        <v>6.5277810000000001</v>
      </c>
      <c r="R71" s="65" t="s">
        <v>33</v>
      </c>
      <c r="S71" s="61">
        <f t="shared" si="6"/>
        <v>2.3500011599999999E-2</v>
      </c>
      <c r="T71" s="61">
        <f t="shared" si="7"/>
        <v>2.3500011599999999E-2</v>
      </c>
      <c r="U71" s="61">
        <f t="shared" si="8"/>
        <v>2.3500011599999999E-2</v>
      </c>
      <c r="V71" s="65"/>
    </row>
    <row r="72" spans="1:25" s="21" customFormat="1" x14ac:dyDescent="0.2">
      <c r="A72" s="14" t="s">
        <v>33</v>
      </c>
      <c r="B72" s="15">
        <v>6122</v>
      </c>
      <c r="C72" s="14" t="s">
        <v>52</v>
      </c>
      <c r="D72" s="14">
        <v>1</v>
      </c>
      <c r="E72" s="16">
        <v>4689440</v>
      </c>
      <c r="F72" s="16">
        <v>614</v>
      </c>
      <c r="G72" s="16">
        <v>582</v>
      </c>
      <c r="H72" s="17">
        <v>92</v>
      </c>
      <c r="I72" s="25" t="s">
        <v>44</v>
      </c>
      <c r="J72" s="20"/>
      <c r="K72" s="16">
        <v>4689440</v>
      </c>
      <c r="L72" s="16">
        <v>4689440</v>
      </c>
      <c r="M72" s="16">
        <v>4689440</v>
      </c>
      <c r="N72" s="65" t="s">
        <v>33</v>
      </c>
      <c r="O72" s="61">
        <f t="shared" si="34"/>
        <v>4.6894400000000003</v>
      </c>
      <c r="P72" s="61">
        <f t="shared" si="31"/>
        <v>4.6894400000000003</v>
      </c>
      <c r="Q72" s="61">
        <f t="shared" si="32"/>
        <v>4.6894400000000003</v>
      </c>
      <c r="R72" s="65" t="s">
        <v>33</v>
      </c>
      <c r="S72" s="61">
        <f t="shared" ref="S72:S108" si="36">O72*0.0036</f>
        <v>1.6881983999999999E-2</v>
      </c>
      <c r="T72" s="61">
        <f t="shared" ref="T72:T108" si="37">P72*0.0036</f>
        <v>1.6881983999999999E-2</v>
      </c>
      <c r="U72" s="61">
        <f t="shared" ref="U72:U108" si="38">Q72*0.0036</f>
        <v>1.6881983999999999E-2</v>
      </c>
      <c r="V72" s="65"/>
    </row>
    <row r="73" spans="1:25" s="21" customFormat="1" x14ac:dyDescent="0.2">
      <c r="A73" s="6" t="s">
        <v>33</v>
      </c>
      <c r="B73" s="7">
        <v>2589</v>
      </c>
      <c r="C73" s="6" t="s">
        <v>50</v>
      </c>
      <c r="D73" s="6">
        <v>2</v>
      </c>
      <c r="E73" s="8">
        <v>10104890</v>
      </c>
      <c r="F73" s="8">
        <v>1259</v>
      </c>
      <c r="G73" s="8">
        <v>1291</v>
      </c>
      <c r="H73" s="9">
        <v>89.4</v>
      </c>
      <c r="I73" s="24" t="s">
        <v>58</v>
      </c>
      <c r="J73" s="20"/>
      <c r="K73" s="8">
        <v>10104890</v>
      </c>
      <c r="L73" s="8">
        <v>10104890</v>
      </c>
      <c r="M73" s="8">
        <v>10104890</v>
      </c>
      <c r="N73" s="65" t="s">
        <v>33</v>
      </c>
      <c r="O73" s="47">
        <f t="shared" si="34"/>
        <v>10.104889999999999</v>
      </c>
      <c r="P73" s="47">
        <f t="shared" si="31"/>
        <v>10.104889999999999</v>
      </c>
      <c r="Q73" s="47">
        <f t="shared" si="32"/>
        <v>10.104889999999999</v>
      </c>
      <c r="R73" s="65" t="s">
        <v>33</v>
      </c>
      <c r="S73" s="47">
        <f t="shared" si="36"/>
        <v>3.6377603999999994E-2</v>
      </c>
      <c r="T73" s="47">
        <f t="shared" si="37"/>
        <v>3.6377603999999994E-2</v>
      </c>
      <c r="U73" s="47">
        <f t="shared" si="38"/>
        <v>3.6377603999999994E-2</v>
      </c>
      <c r="V73" s="65"/>
    </row>
    <row r="74" spans="1:25" s="21" customFormat="1" x14ac:dyDescent="0.2">
      <c r="A74" s="14" t="s">
        <v>36</v>
      </c>
      <c r="B74" s="15">
        <v>6020</v>
      </c>
      <c r="C74" s="14" t="s">
        <v>37</v>
      </c>
      <c r="D74" s="14">
        <v>1</v>
      </c>
      <c r="E74" s="16">
        <v>10934736</v>
      </c>
      <c r="F74" s="16">
        <v>1312</v>
      </c>
      <c r="G74" s="16">
        <v>1240</v>
      </c>
      <c r="H74" s="17">
        <v>100.7</v>
      </c>
      <c r="I74" s="25" t="s">
        <v>44</v>
      </c>
      <c r="J74" s="20"/>
      <c r="K74" s="16">
        <v>10934736</v>
      </c>
      <c r="L74" s="16">
        <v>10934736</v>
      </c>
      <c r="M74" s="16">
        <v>10934736</v>
      </c>
      <c r="N74" s="65" t="s">
        <v>36</v>
      </c>
      <c r="O74" s="61">
        <f t="shared" si="34"/>
        <v>10.934735999999999</v>
      </c>
      <c r="P74" s="61">
        <f t="shared" si="31"/>
        <v>10.934735999999999</v>
      </c>
      <c r="Q74" s="61">
        <f t="shared" si="32"/>
        <v>10.934735999999999</v>
      </c>
      <c r="R74" s="65" t="s">
        <v>36</v>
      </c>
      <c r="S74" s="61">
        <f t="shared" si="36"/>
        <v>3.9365049599999993E-2</v>
      </c>
      <c r="T74" s="61">
        <f t="shared" si="37"/>
        <v>3.9365049599999993E-2</v>
      </c>
      <c r="U74" s="61">
        <f t="shared" si="38"/>
        <v>3.9365049599999993E-2</v>
      </c>
      <c r="V74" s="65" t="s">
        <v>36</v>
      </c>
      <c r="W74" s="21">
        <f>SUM(S74:S75)</f>
        <v>6.5934025199999996E-2</v>
      </c>
      <c r="X74" s="21">
        <f t="shared" ref="X74:Y74" si="39">SUM(T74:T75)</f>
        <v>6.5934025199999996E-2</v>
      </c>
      <c r="Y74" s="21">
        <f t="shared" si="39"/>
        <v>6.5934025199999996E-2</v>
      </c>
    </row>
    <row r="75" spans="1:25" s="21" customFormat="1" x14ac:dyDescent="0.2">
      <c r="A75" s="14" t="s">
        <v>36</v>
      </c>
      <c r="B75" s="15">
        <v>6149</v>
      </c>
      <c r="C75" s="14" t="s">
        <v>38</v>
      </c>
      <c r="D75" s="14">
        <v>1</v>
      </c>
      <c r="E75" s="16">
        <v>7380271</v>
      </c>
      <c r="F75" s="16">
        <v>925</v>
      </c>
      <c r="G75" s="16">
        <v>894</v>
      </c>
      <c r="H75" s="17">
        <v>94.2</v>
      </c>
      <c r="I75" s="25" t="s">
        <v>44</v>
      </c>
      <c r="J75" s="20"/>
      <c r="K75" s="16">
        <v>7380271</v>
      </c>
      <c r="L75" s="16">
        <v>7380271</v>
      </c>
      <c r="M75" s="16">
        <v>7380271</v>
      </c>
      <c r="N75" s="65" t="s">
        <v>36</v>
      </c>
      <c r="O75" s="61">
        <f t="shared" si="34"/>
        <v>7.3802709999999996</v>
      </c>
      <c r="P75" s="61">
        <f t="shared" si="31"/>
        <v>7.3802709999999996</v>
      </c>
      <c r="Q75" s="61">
        <f t="shared" si="32"/>
        <v>7.3802709999999996</v>
      </c>
      <c r="R75" s="65" t="s">
        <v>36</v>
      </c>
      <c r="S75" s="61">
        <f t="shared" si="36"/>
        <v>2.6568975599999999E-2</v>
      </c>
      <c r="T75" s="61">
        <f t="shared" si="37"/>
        <v>2.6568975599999999E-2</v>
      </c>
      <c r="U75" s="61">
        <f t="shared" si="38"/>
        <v>2.6568975599999999E-2</v>
      </c>
      <c r="V75" s="65"/>
    </row>
    <row r="76" spans="1:25" s="21" customFormat="1" x14ac:dyDescent="0.2">
      <c r="A76" s="10" t="s">
        <v>29</v>
      </c>
      <c r="B76" s="11">
        <v>8011</v>
      </c>
      <c r="C76" s="10" t="s">
        <v>30</v>
      </c>
      <c r="D76" s="10">
        <v>1</v>
      </c>
      <c r="E76" s="12">
        <v>7335824</v>
      </c>
      <c r="F76" s="12">
        <v>981</v>
      </c>
      <c r="G76" s="12">
        <v>803</v>
      </c>
      <c r="H76" s="13">
        <v>104.3</v>
      </c>
      <c r="I76" s="26" t="s">
        <v>23</v>
      </c>
      <c r="J76" s="20">
        <v>2019</v>
      </c>
      <c r="K76" s="12">
        <v>0</v>
      </c>
      <c r="L76" s="12">
        <v>0</v>
      </c>
      <c r="M76" s="12">
        <v>0</v>
      </c>
      <c r="N76" s="65" t="s">
        <v>29</v>
      </c>
      <c r="O76" s="62">
        <f t="shared" si="34"/>
        <v>0</v>
      </c>
      <c r="P76" s="62">
        <f t="shared" si="31"/>
        <v>0</v>
      </c>
      <c r="Q76" s="62">
        <f t="shared" si="32"/>
        <v>0</v>
      </c>
      <c r="R76" s="65" t="s">
        <v>29</v>
      </c>
      <c r="S76" s="62">
        <f t="shared" si="36"/>
        <v>0</v>
      </c>
      <c r="T76" s="62">
        <f t="shared" si="37"/>
        <v>0</v>
      </c>
      <c r="U76" s="62">
        <f t="shared" si="38"/>
        <v>0</v>
      </c>
      <c r="V76" s="65" t="s">
        <v>29</v>
      </c>
      <c r="W76" s="21">
        <f>SUM(S76:S84)</f>
        <v>0.2740831272</v>
      </c>
      <c r="X76" s="21">
        <f t="shared" ref="X76:Y76" si="40">SUM(T76:T84)</f>
        <v>0.2740831272</v>
      </c>
      <c r="Y76" s="21">
        <f t="shared" si="40"/>
        <v>0.2740831272</v>
      </c>
    </row>
    <row r="77" spans="1:25" s="21" customFormat="1" x14ac:dyDescent="0.2">
      <c r="A77" s="14" t="s">
        <v>29</v>
      </c>
      <c r="B77" s="15">
        <v>6040</v>
      </c>
      <c r="C77" s="14" t="s">
        <v>39</v>
      </c>
      <c r="D77" s="14">
        <v>1</v>
      </c>
      <c r="E77" s="16">
        <v>7438148</v>
      </c>
      <c r="F77" s="16">
        <v>923</v>
      </c>
      <c r="G77" s="16">
        <v>907</v>
      </c>
      <c r="H77" s="17">
        <v>93.6</v>
      </c>
      <c r="I77" s="25" t="s">
        <v>44</v>
      </c>
      <c r="J77" s="44"/>
      <c r="K77" s="16">
        <v>7438148</v>
      </c>
      <c r="L77" s="16">
        <v>7438148</v>
      </c>
      <c r="M77" s="16">
        <v>7438148</v>
      </c>
      <c r="N77" s="65" t="s">
        <v>29</v>
      </c>
      <c r="O77" s="61">
        <f t="shared" si="34"/>
        <v>7.438148</v>
      </c>
      <c r="P77" s="61">
        <f t="shared" si="31"/>
        <v>7.438148</v>
      </c>
      <c r="Q77" s="61">
        <f t="shared" si="32"/>
        <v>7.438148</v>
      </c>
      <c r="R77" s="65" t="s">
        <v>29</v>
      </c>
      <c r="S77" s="61">
        <f t="shared" si="36"/>
        <v>2.6777332799999998E-2</v>
      </c>
      <c r="T77" s="61">
        <f t="shared" si="37"/>
        <v>2.6777332799999998E-2</v>
      </c>
      <c r="U77" s="61">
        <f t="shared" si="38"/>
        <v>2.6777332799999998E-2</v>
      </c>
      <c r="V77" s="65"/>
    </row>
    <row r="78" spans="1:25" s="21" customFormat="1" x14ac:dyDescent="0.2">
      <c r="A78" s="14" t="s">
        <v>29</v>
      </c>
      <c r="B78" s="15">
        <v>6040</v>
      </c>
      <c r="C78" s="14" t="s">
        <v>39</v>
      </c>
      <c r="D78" s="14">
        <v>2</v>
      </c>
      <c r="E78" s="16">
        <v>7215308</v>
      </c>
      <c r="F78" s="16">
        <v>923</v>
      </c>
      <c r="G78" s="16">
        <v>901</v>
      </c>
      <c r="H78" s="17">
        <v>91.4</v>
      </c>
      <c r="I78" s="25" t="s">
        <v>44</v>
      </c>
      <c r="J78" s="20"/>
      <c r="K78" s="16">
        <v>7215308</v>
      </c>
      <c r="L78" s="16">
        <v>7215308</v>
      </c>
      <c r="M78" s="16">
        <v>7215308</v>
      </c>
      <c r="N78" s="65" t="s">
        <v>29</v>
      </c>
      <c r="O78" s="61">
        <f t="shared" si="34"/>
        <v>7.2153080000000003</v>
      </c>
      <c r="P78" s="61">
        <f t="shared" si="31"/>
        <v>7.2153080000000003</v>
      </c>
      <c r="Q78" s="61">
        <f t="shared" si="32"/>
        <v>7.2153080000000003</v>
      </c>
      <c r="R78" s="65" t="s">
        <v>29</v>
      </c>
      <c r="S78" s="61">
        <f t="shared" si="36"/>
        <v>2.59751088E-2</v>
      </c>
      <c r="T78" s="61">
        <f t="shared" si="37"/>
        <v>2.59751088E-2</v>
      </c>
      <c r="U78" s="61">
        <f t="shared" si="38"/>
        <v>2.59751088E-2</v>
      </c>
      <c r="V78" s="65"/>
    </row>
    <row r="79" spans="1:25" s="21" customFormat="1" x14ac:dyDescent="0.2">
      <c r="A79" s="6" t="s">
        <v>29</v>
      </c>
      <c r="B79" s="7">
        <v>3166</v>
      </c>
      <c r="C79" s="6" t="s">
        <v>98</v>
      </c>
      <c r="D79" s="6">
        <v>2</v>
      </c>
      <c r="E79" s="8">
        <v>10788451</v>
      </c>
      <c r="F79" s="8">
        <v>1408</v>
      </c>
      <c r="G79" s="8">
        <v>1224</v>
      </c>
      <c r="H79" s="9">
        <v>100.6</v>
      </c>
      <c r="I79" s="24" t="s">
        <v>58</v>
      </c>
      <c r="J79" s="20"/>
      <c r="K79" s="8">
        <v>10788451</v>
      </c>
      <c r="L79" s="8">
        <v>10788451</v>
      </c>
      <c r="M79" s="8">
        <v>10788451</v>
      </c>
      <c r="N79" s="65" t="s">
        <v>29</v>
      </c>
      <c r="O79" s="47">
        <f t="shared" si="34"/>
        <v>10.788451</v>
      </c>
      <c r="P79" s="47">
        <f t="shared" si="31"/>
        <v>10.788451</v>
      </c>
      <c r="Q79" s="47">
        <f t="shared" si="32"/>
        <v>10.788451</v>
      </c>
      <c r="R79" s="65" t="s">
        <v>29</v>
      </c>
      <c r="S79" s="47">
        <f t="shared" si="36"/>
        <v>3.8838423599999998E-2</v>
      </c>
      <c r="T79" s="47">
        <f t="shared" si="37"/>
        <v>3.8838423599999998E-2</v>
      </c>
      <c r="U79" s="47">
        <f t="shared" si="38"/>
        <v>3.8838423599999998E-2</v>
      </c>
      <c r="V79" s="65"/>
    </row>
    <row r="80" spans="1:25" s="21" customFormat="1" x14ac:dyDescent="0.2">
      <c r="A80" s="6" t="s">
        <v>29</v>
      </c>
      <c r="B80" s="7">
        <v>3166</v>
      </c>
      <c r="C80" s="6" t="s">
        <v>98</v>
      </c>
      <c r="D80" s="6">
        <v>3</v>
      </c>
      <c r="E80" s="8">
        <v>10891665</v>
      </c>
      <c r="F80" s="8">
        <v>1377</v>
      </c>
      <c r="G80" s="8">
        <v>1227</v>
      </c>
      <c r="H80" s="9">
        <v>101.4</v>
      </c>
      <c r="I80" s="24" t="s">
        <v>58</v>
      </c>
      <c r="J80" s="20"/>
      <c r="K80" s="8">
        <v>10891665</v>
      </c>
      <c r="L80" s="8">
        <v>10891665</v>
      </c>
      <c r="M80" s="8">
        <v>10891665</v>
      </c>
      <c r="N80" s="65" t="s">
        <v>29</v>
      </c>
      <c r="O80" s="47">
        <f t="shared" si="34"/>
        <v>10.891665</v>
      </c>
      <c r="P80" s="47">
        <f t="shared" si="31"/>
        <v>10.891665</v>
      </c>
      <c r="Q80" s="47">
        <f t="shared" si="32"/>
        <v>10.891665</v>
      </c>
      <c r="R80" s="65" t="s">
        <v>29</v>
      </c>
      <c r="S80" s="47">
        <f t="shared" si="36"/>
        <v>3.9209993999999998E-2</v>
      </c>
      <c r="T80" s="47">
        <f t="shared" si="37"/>
        <v>3.9209993999999998E-2</v>
      </c>
      <c r="U80" s="47">
        <f t="shared" si="38"/>
        <v>3.9209993999999998E-2</v>
      </c>
      <c r="V80" s="65"/>
    </row>
    <row r="81" spans="1:25" s="21" customFormat="1" x14ac:dyDescent="0.2">
      <c r="A81" s="6" t="s">
        <v>29</v>
      </c>
      <c r="B81" s="7">
        <v>6103</v>
      </c>
      <c r="C81" s="6" t="s">
        <v>99</v>
      </c>
      <c r="D81" s="6">
        <v>1</v>
      </c>
      <c r="E81" s="8">
        <v>9554959</v>
      </c>
      <c r="F81" s="8">
        <v>1298</v>
      </c>
      <c r="G81" s="8">
        <v>1247</v>
      </c>
      <c r="H81" s="9">
        <v>87.5</v>
      </c>
      <c r="I81" s="24" t="s">
        <v>58</v>
      </c>
      <c r="J81" s="20"/>
      <c r="K81" s="8">
        <v>9554959</v>
      </c>
      <c r="L81" s="8">
        <v>9554959</v>
      </c>
      <c r="M81" s="8">
        <v>9554959</v>
      </c>
      <c r="N81" s="65" t="s">
        <v>29</v>
      </c>
      <c r="O81" s="47">
        <f t="shared" si="34"/>
        <v>9.5549590000000002</v>
      </c>
      <c r="P81" s="47">
        <f t="shared" si="31"/>
        <v>9.5549590000000002</v>
      </c>
      <c r="Q81" s="47">
        <f t="shared" si="32"/>
        <v>9.5549590000000002</v>
      </c>
      <c r="R81" s="65" t="s">
        <v>29</v>
      </c>
      <c r="S81" s="47">
        <f t="shared" si="36"/>
        <v>3.4397852399999998E-2</v>
      </c>
      <c r="T81" s="47">
        <f t="shared" si="37"/>
        <v>3.4397852399999998E-2</v>
      </c>
      <c r="U81" s="47">
        <f t="shared" si="38"/>
        <v>3.4397852399999998E-2</v>
      </c>
      <c r="V81" s="65"/>
    </row>
    <row r="82" spans="1:25" s="21" customFormat="1" x14ac:dyDescent="0.2">
      <c r="A82" s="6" t="s">
        <v>29</v>
      </c>
      <c r="B82" s="7">
        <v>6103</v>
      </c>
      <c r="C82" s="6" t="s">
        <v>99</v>
      </c>
      <c r="D82" s="6">
        <v>2</v>
      </c>
      <c r="E82" s="8">
        <v>10907045</v>
      </c>
      <c r="F82" s="8">
        <v>1298</v>
      </c>
      <c r="G82" s="8">
        <v>1247</v>
      </c>
      <c r="H82" s="9">
        <v>99.8</v>
      </c>
      <c r="I82" s="24" t="s">
        <v>58</v>
      </c>
      <c r="J82" s="20"/>
      <c r="K82" s="8">
        <v>10907045</v>
      </c>
      <c r="L82" s="8">
        <v>10907045</v>
      </c>
      <c r="M82" s="8">
        <v>10907045</v>
      </c>
      <c r="N82" s="65" t="s">
        <v>29</v>
      </c>
      <c r="O82" s="47">
        <f t="shared" si="34"/>
        <v>10.907045</v>
      </c>
      <c r="P82" s="47">
        <f t="shared" si="31"/>
        <v>10.907045</v>
      </c>
      <c r="Q82" s="47">
        <f t="shared" si="32"/>
        <v>10.907045</v>
      </c>
      <c r="R82" s="65" t="s">
        <v>29</v>
      </c>
      <c r="S82" s="47">
        <f t="shared" si="36"/>
        <v>3.9265361999999998E-2</v>
      </c>
      <c r="T82" s="47">
        <f t="shared" si="37"/>
        <v>3.9265361999999998E-2</v>
      </c>
      <c r="U82" s="47">
        <f t="shared" si="38"/>
        <v>3.9265361999999998E-2</v>
      </c>
      <c r="V82" s="65"/>
    </row>
    <row r="83" spans="1:25" s="21" customFormat="1" x14ac:dyDescent="0.2">
      <c r="A83" s="6" t="s">
        <v>29</v>
      </c>
      <c r="B83" s="7">
        <v>6105</v>
      </c>
      <c r="C83" s="6" t="s">
        <v>100</v>
      </c>
      <c r="D83" s="6">
        <v>1</v>
      </c>
      <c r="E83" s="8">
        <v>9181855</v>
      </c>
      <c r="F83" s="8">
        <v>1139</v>
      </c>
      <c r="G83" s="8">
        <v>1120</v>
      </c>
      <c r="H83" s="9">
        <v>93.6</v>
      </c>
      <c r="I83" s="24" t="s">
        <v>58</v>
      </c>
      <c r="J83" s="20"/>
      <c r="K83" s="8">
        <v>9181855</v>
      </c>
      <c r="L83" s="8">
        <v>9181855</v>
      </c>
      <c r="M83" s="8">
        <v>9181855</v>
      </c>
      <c r="N83" s="65" t="s">
        <v>29</v>
      </c>
      <c r="O83" s="47">
        <f t="shared" si="34"/>
        <v>9.1818550000000005</v>
      </c>
      <c r="P83" s="47">
        <f t="shared" si="31"/>
        <v>9.1818550000000005</v>
      </c>
      <c r="Q83" s="47">
        <f t="shared" si="32"/>
        <v>9.1818550000000005</v>
      </c>
      <c r="R83" s="65" t="s">
        <v>29</v>
      </c>
      <c r="S83" s="47">
        <f t="shared" si="36"/>
        <v>3.3054678000000004E-2</v>
      </c>
      <c r="T83" s="47">
        <f t="shared" si="37"/>
        <v>3.3054678000000004E-2</v>
      </c>
      <c r="U83" s="47">
        <f t="shared" si="38"/>
        <v>3.3054678000000004E-2</v>
      </c>
      <c r="V83" s="65"/>
    </row>
    <row r="84" spans="1:25" s="21" customFormat="1" x14ac:dyDescent="0.2">
      <c r="A84" s="6" t="s">
        <v>29</v>
      </c>
      <c r="B84" s="7">
        <v>6105</v>
      </c>
      <c r="C84" s="6" t="s">
        <v>100</v>
      </c>
      <c r="D84" s="6">
        <v>2</v>
      </c>
      <c r="E84" s="8">
        <v>10156771</v>
      </c>
      <c r="F84" s="8">
        <v>1139</v>
      </c>
      <c r="G84" s="8">
        <v>1122</v>
      </c>
      <c r="H84" s="9">
        <v>103.3</v>
      </c>
      <c r="I84" s="24" t="s">
        <v>58</v>
      </c>
      <c r="J84" s="20"/>
      <c r="K84" s="8">
        <v>10156771</v>
      </c>
      <c r="L84" s="8">
        <v>10156771</v>
      </c>
      <c r="M84" s="8">
        <v>10156771</v>
      </c>
      <c r="N84" s="65" t="s">
        <v>29</v>
      </c>
      <c r="O84" s="47">
        <f>K84/1000000</f>
        <v>10.156771000000001</v>
      </c>
      <c r="P84" s="47">
        <f t="shared" si="31"/>
        <v>10.156771000000001</v>
      </c>
      <c r="Q84" s="47">
        <f t="shared" si="32"/>
        <v>10.156771000000001</v>
      </c>
      <c r="R84" s="65" t="s">
        <v>29</v>
      </c>
      <c r="S84" s="47">
        <f t="shared" si="36"/>
        <v>3.6564375600000004E-2</v>
      </c>
      <c r="T84" s="47">
        <f t="shared" si="37"/>
        <v>3.6564375600000004E-2</v>
      </c>
      <c r="U84" s="47">
        <f t="shared" si="38"/>
        <v>3.6564375600000004E-2</v>
      </c>
      <c r="V84" s="65"/>
    </row>
    <row r="85" spans="1:25" s="21" customFormat="1" x14ac:dyDescent="0.2">
      <c r="A85" s="6" t="s">
        <v>101</v>
      </c>
      <c r="B85" s="7">
        <v>3251</v>
      </c>
      <c r="C85" s="6" t="s">
        <v>102</v>
      </c>
      <c r="D85" s="6">
        <v>2</v>
      </c>
      <c r="E85" s="8">
        <v>5276118</v>
      </c>
      <c r="F85" s="8">
        <v>769</v>
      </c>
      <c r="G85" s="8">
        <v>741</v>
      </c>
      <c r="H85" s="9">
        <v>81.3</v>
      </c>
      <c r="I85" s="24" t="s">
        <v>58</v>
      </c>
      <c r="J85" s="20"/>
      <c r="K85" s="8">
        <v>5276118</v>
      </c>
      <c r="L85" s="8">
        <v>5276118</v>
      </c>
      <c r="M85" s="8">
        <v>5276118</v>
      </c>
      <c r="N85" s="65" t="s">
        <v>101</v>
      </c>
      <c r="O85" s="47">
        <f t="shared" ref="O85:O102" si="41">K85/1000000</f>
        <v>5.2761180000000003</v>
      </c>
      <c r="P85" s="47">
        <f t="shared" si="31"/>
        <v>5.2761180000000003</v>
      </c>
      <c r="Q85" s="47">
        <f t="shared" si="32"/>
        <v>5.2761180000000003</v>
      </c>
      <c r="R85" s="65" t="s">
        <v>101</v>
      </c>
      <c r="S85" s="47">
        <f t="shared" si="36"/>
        <v>1.8994024800000002E-2</v>
      </c>
      <c r="T85" s="47">
        <f t="shared" si="37"/>
        <v>1.8994024800000002E-2</v>
      </c>
      <c r="U85" s="47">
        <f t="shared" si="38"/>
        <v>1.8994024800000002E-2</v>
      </c>
      <c r="V85" s="65" t="s">
        <v>101</v>
      </c>
      <c r="W85" s="21">
        <f>SUM(S85:S91)</f>
        <v>0.1897792884</v>
      </c>
      <c r="X85" s="21">
        <f t="shared" ref="X85:Y85" si="42">SUM(T85:T91)</f>
        <v>0.1897792884</v>
      </c>
      <c r="Y85" s="21">
        <f t="shared" si="42"/>
        <v>0.1897792884</v>
      </c>
    </row>
    <row r="86" spans="1:25" s="21" customFormat="1" x14ac:dyDescent="0.2">
      <c r="A86" s="6" t="s">
        <v>101</v>
      </c>
      <c r="B86" s="7">
        <v>3265</v>
      </c>
      <c r="C86" s="6" t="s">
        <v>103</v>
      </c>
      <c r="D86" s="6">
        <v>1</v>
      </c>
      <c r="E86" s="8">
        <v>6745635</v>
      </c>
      <c r="F86" s="8">
        <v>887</v>
      </c>
      <c r="G86" s="8">
        <v>847</v>
      </c>
      <c r="H86" s="9">
        <v>90.9</v>
      </c>
      <c r="I86" s="24" t="s">
        <v>58</v>
      </c>
      <c r="J86" s="20"/>
      <c r="K86" s="8">
        <v>6745635</v>
      </c>
      <c r="L86" s="8">
        <v>6745635</v>
      </c>
      <c r="M86" s="8">
        <v>6745635</v>
      </c>
      <c r="N86" s="65" t="s">
        <v>101</v>
      </c>
      <c r="O86" s="47">
        <f t="shared" si="41"/>
        <v>6.745635</v>
      </c>
      <c r="P86" s="47">
        <f t="shared" si="31"/>
        <v>6.745635</v>
      </c>
      <c r="Q86" s="47">
        <f t="shared" si="32"/>
        <v>6.745635</v>
      </c>
      <c r="R86" s="65" t="s">
        <v>101</v>
      </c>
      <c r="S86" s="47">
        <f t="shared" si="36"/>
        <v>2.4284285999999999E-2</v>
      </c>
      <c r="T86" s="47">
        <f t="shared" si="37"/>
        <v>2.4284285999999999E-2</v>
      </c>
      <c r="U86" s="47">
        <f t="shared" si="38"/>
        <v>2.4284285999999999E-2</v>
      </c>
      <c r="V86" s="65"/>
    </row>
    <row r="87" spans="1:25" s="21" customFormat="1" x14ac:dyDescent="0.2">
      <c r="A87" s="6" t="s">
        <v>101</v>
      </c>
      <c r="B87" s="7">
        <v>3265</v>
      </c>
      <c r="C87" s="6" t="s">
        <v>103</v>
      </c>
      <c r="D87" s="6">
        <v>2</v>
      </c>
      <c r="E87" s="8">
        <v>7581168</v>
      </c>
      <c r="F87" s="8">
        <v>887</v>
      </c>
      <c r="G87" s="8">
        <v>848</v>
      </c>
      <c r="H87" s="9">
        <v>102.1</v>
      </c>
      <c r="I87" s="24" t="s">
        <v>58</v>
      </c>
      <c r="J87" s="20"/>
      <c r="K87" s="8">
        <v>7581168</v>
      </c>
      <c r="L87" s="8">
        <v>7581168</v>
      </c>
      <c r="M87" s="8">
        <v>7581168</v>
      </c>
      <c r="N87" s="65" t="s">
        <v>101</v>
      </c>
      <c r="O87" s="47">
        <f t="shared" si="41"/>
        <v>7.5811679999999999</v>
      </c>
      <c r="P87" s="47">
        <f t="shared" si="31"/>
        <v>7.5811679999999999</v>
      </c>
      <c r="Q87" s="47">
        <f t="shared" si="32"/>
        <v>7.5811679999999999</v>
      </c>
      <c r="R87" s="65" t="s">
        <v>101</v>
      </c>
      <c r="S87" s="47">
        <f t="shared" si="36"/>
        <v>2.7292204799999997E-2</v>
      </c>
      <c r="T87" s="47">
        <f t="shared" si="37"/>
        <v>2.7292204799999997E-2</v>
      </c>
      <c r="U87" s="47">
        <f t="shared" si="38"/>
        <v>2.7292204799999997E-2</v>
      </c>
      <c r="V87" s="65"/>
    </row>
    <row r="88" spans="1:25" s="21" customFormat="1" x14ac:dyDescent="0.2">
      <c r="A88" s="6" t="s">
        <v>101</v>
      </c>
      <c r="B88" s="7">
        <v>3265</v>
      </c>
      <c r="C88" s="6" t="s">
        <v>103</v>
      </c>
      <c r="D88" s="6">
        <v>3</v>
      </c>
      <c r="E88" s="8">
        <v>6967442</v>
      </c>
      <c r="F88" s="8">
        <v>893</v>
      </c>
      <c r="G88" s="8">
        <v>859</v>
      </c>
      <c r="H88" s="9">
        <v>92.6</v>
      </c>
      <c r="I88" s="24" t="s">
        <v>58</v>
      </c>
      <c r="J88" s="20"/>
      <c r="K88" s="8">
        <v>6967442</v>
      </c>
      <c r="L88" s="8">
        <v>6967442</v>
      </c>
      <c r="M88" s="8">
        <v>6967442</v>
      </c>
      <c r="N88" s="65" t="s">
        <v>101</v>
      </c>
      <c r="O88" s="47">
        <f t="shared" si="41"/>
        <v>6.9674420000000001</v>
      </c>
      <c r="P88" s="47">
        <f t="shared" si="31"/>
        <v>6.9674420000000001</v>
      </c>
      <c r="Q88" s="47">
        <f t="shared" si="32"/>
        <v>6.9674420000000001</v>
      </c>
      <c r="R88" s="65" t="s">
        <v>101</v>
      </c>
      <c r="S88" s="47">
        <f t="shared" si="36"/>
        <v>2.5082791199999999E-2</v>
      </c>
      <c r="T88" s="47">
        <f t="shared" si="37"/>
        <v>2.5082791199999999E-2</v>
      </c>
      <c r="U88" s="47">
        <f t="shared" si="38"/>
        <v>2.5082791199999999E-2</v>
      </c>
      <c r="V88" s="65"/>
    </row>
    <row r="89" spans="1:25" s="21" customFormat="1" x14ac:dyDescent="0.2">
      <c r="A89" s="6" t="s">
        <v>101</v>
      </c>
      <c r="B89" s="7">
        <v>6036</v>
      </c>
      <c r="C89" s="6" t="s">
        <v>104</v>
      </c>
      <c r="D89" s="6">
        <v>1</v>
      </c>
      <c r="E89" s="8">
        <v>9510487</v>
      </c>
      <c r="F89" s="8">
        <v>1205</v>
      </c>
      <c r="G89" s="8">
        <v>1160</v>
      </c>
      <c r="H89" s="9">
        <v>93.6</v>
      </c>
      <c r="I89" s="24" t="s">
        <v>58</v>
      </c>
      <c r="J89" s="20"/>
      <c r="K89" s="8">
        <v>9510487</v>
      </c>
      <c r="L89" s="8">
        <v>9510487</v>
      </c>
      <c r="M89" s="8">
        <v>9510487</v>
      </c>
      <c r="N89" s="65" t="s">
        <v>101</v>
      </c>
      <c r="O89" s="47">
        <f t="shared" si="41"/>
        <v>9.5104869999999995</v>
      </c>
      <c r="P89" s="47">
        <f t="shared" si="31"/>
        <v>9.5104869999999995</v>
      </c>
      <c r="Q89" s="47">
        <f t="shared" si="32"/>
        <v>9.5104869999999995</v>
      </c>
      <c r="R89" s="65" t="s">
        <v>101</v>
      </c>
      <c r="S89" s="47">
        <f t="shared" si="36"/>
        <v>3.4237753199999998E-2</v>
      </c>
      <c r="T89" s="47">
        <f t="shared" si="37"/>
        <v>3.4237753199999998E-2</v>
      </c>
      <c r="U89" s="47">
        <f t="shared" si="38"/>
        <v>3.4237753199999998E-2</v>
      </c>
      <c r="V89" s="65"/>
    </row>
    <row r="90" spans="1:25" s="21" customFormat="1" x14ac:dyDescent="0.2">
      <c r="A90" s="6" t="s">
        <v>101</v>
      </c>
      <c r="B90" s="7">
        <v>6036</v>
      </c>
      <c r="C90" s="6" t="s">
        <v>104</v>
      </c>
      <c r="D90" s="6">
        <v>2</v>
      </c>
      <c r="E90" s="8">
        <v>9269228</v>
      </c>
      <c r="F90" s="8">
        <v>1205</v>
      </c>
      <c r="G90" s="8">
        <v>1150</v>
      </c>
      <c r="H90" s="9">
        <v>92</v>
      </c>
      <c r="I90" s="24" t="s">
        <v>58</v>
      </c>
      <c r="J90" s="20"/>
      <c r="K90" s="8">
        <v>9269228</v>
      </c>
      <c r="L90" s="8">
        <v>9269228</v>
      </c>
      <c r="M90" s="8">
        <v>9269228</v>
      </c>
      <c r="N90" s="65" t="s">
        <v>101</v>
      </c>
      <c r="O90" s="47">
        <f t="shared" si="41"/>
        <v>9.269228</v>
      </c>
      <c r="P90" s="47">
        <f t="shared" si="31"/>
        <v>9.269228</v>
      </c>
      <c r="Q90" s="47">
        <f t="shared" si="32"/>
        <v>9.269228</v>
      </c>
      <c r="R90" s="65" t="s">
        <v>101</v>
      </c>
      <c r="S90" s="47">
        <f t="shared" si="36"/>
        <v>3.3369220800000002E-2</v>
      </c>
      <c r="T90" s="47">
        <f t="shared" si="37"/>
        <v>3.3369220800000002E-2</v>
      </c>
      <c r="U90" s="47">
        <f t="shared" si="38"/>
        <v>3.3369220800000002E-2</v>
      </c>
      <c r="V90" s="65"/>
    </row>
    <row r="91" spans="1:25" s="21" customFormat="1" x14ac:dyDescent="0.2">
      <c r="A91" s="6" t="s">
        <v>101</v>
      </c>
      <c r="B91" s="7">
        <v>6127</v>
      </c>
      <c r="C91" s="6" t="s">
        <v>105</v>
      </c>
      <c r="D91" s="6">
        <v>1</v>
      </c>
      <c r="E91" s="8">
        <v>7366391</v>
      </c>
      <c r="F91" s="8">
        <v>1030</v>
      </c>
      <c r="G91" s="8">
        <v>971</v>
      </c>
      <c r="H91" s="9">
        <v>86.6</v>
      </c>
      <c r="I91" s="24" t="s">
        <v>58</v>
      </c>
      <c r="J91" s="20"/>
      <c r="K91" s="8">
        <v>7366391</v>
      </c>
      <c r="L91" s="8">
        <v>7366391</v>
      </c>
      <c r="M91" s="8">
        <v>7366391</v>
      </c>
      <c r="N91" s="65" t="s">
        <v>101</v>
      </c>
      <c r="O91" s="47">
        <f t="shared" si="41"/>
        <v>7.3663910000000001</v>
      </c>
      <c r="P91" s="47">
        <f t="shared" si="31"/>
        <v>7.3663910000000001</v>
      </c>
      <c r="Q91" s="47">
        <f t="shared" si="32"/>
        <v>7.3663910000000001</v>
      </c>
      <c r="R91" s="65" t="s">
        <v>101</v>
      </c>
      <c r="S91" s="47">
        <f t="shared" si="36"/>
        <v>2.6519007599999998E-2</v>
      </c>
      <c r="T91" s="47">
        <f t="shared" si="37"/>
        <v>2.6519007599999998E-2</v>
      </c>
      <c r="U91" s="47">
        <f t="shared" si="38"/>
        <v>2.6519007599999998E-2</v>
      </c>
      <c r="V91" s="65"/>
    </row>
    <row r="92" spans="1:25" s="21" customFormat="1" x14ac:dyDescent="0.2">
      <c r="A92" s="6" t="s">
        <v>106</v>
      </c>
      <c r="B92" s="7">
        <v>6152</v>
      </c>
      <c r="C92" s="6" t="s">
        <v>107</v>
      </c>
      <c r="D92" s="6">
        <v>1</v>
      </c>
      <c r="E92" s="8">
        <v>8916875</v>
      </c>
      <c r="F92" s="8">
        <v>1221</v>
      </c>
      <c r="G92" s="8">
        <v>1152</v>
      </c>
      <c r="H92" s="9">
        <v>88.4</v>
      </c>
      <c r="I92" s="24" t="s">
        <v>58</v>
      </c>
      <c r="J92" s="20"/>
      <c r="K92" s="8">
        <v>8916875</v>
      </c>
      <c r="L92" s="8">
        <v>8916875</v>
      </c>
      <c r="M92" s="8">
        <v>8916875</v>
      </c>
      <c r="N92" s="65" t="s">
        <v>106</v>
      </c>
      <c r="O92" s="47">
        <f t="shared" si="41"/>
        <v>8.9168749999999992</v>
      </c>
      <c r="P92" s="47">
        <f t="shared" si="31"/>
        <v>8.9168749999999992</v>
      </c>
      <c r="Q92" s="47">
        <f t="shared" si="32"/>
        <v>8.9168749999999992</v>
      </c>
      <c r="R92" s="65" t="s">
        <v>106</v>
      </c>
      <c r="S92" s="47">
        <f t="shared" si="36"/>
        <v>3.2100749999999997E-2</v>
      </c>
      <c r="T92" s="47">
        <f t="shared" si="37"/>
        <v>3.2100749999999997E-2</v>
      </c>
      <c r="U92" s="47">
        <f t="shared" si="38"/>
        <v>3.2100749999999997E-2</v>
      </c>
      <c r="V92" s="65" t="s">
        <v>106</v>
      </c>
      <c r="W92" s="21">
        <f>SUM(S92:S95)</f>
        <v>0.13023497519999999</v>
      </c>
      <c r="X92" s="21">
        <f t="shared" ref="X92:Y92" si="43">SUM(T92:T95)</f>
        <v>0.13023497519999999</v>
      </c>
      <c r="Y92" s="21">
        <f t="shared" si="43"/>
        <v>0.13023497519999999</v>
      </c>
    </row>
    <row r="93" spans="1:25" s="21" customFormat="1" x14ac:dyDescent="0.2">
      <c r="A93" s="6" t="s">
        <v>106</v>
      </c>
      <c r="B93" s="7">
        <v>6152</v>
      </c>
      <c r="C93" s="6" t="s">
        <v>107</v>
      </c>
      <c r="D93" s="6">
        <v>2</v>
      </c>
      <c r="E93" s="8">
        <v>8786874</v>
      </c>
      <c r="F93" s="8">
        <v>1221</v>
      </c>
      <c r="G93" s="8">
        <v>1126</v>
      </c>
      <c r="H93" s="9">
        <v>89.1</v>
      </c>
      <c r="I93" s="24" t="s">
        <v>58</v>
      </c>
      <c r="J93" s="20"/>
      <c r="K93" s="8">
        <v>8786874</v>
      </c>
      <c r="L93" s="8">
        <v>8786874</v>
      </c>
      <c r="M93" s="8">
        <v>8786874</v>
      </c>
      <c r="N93" s="65" t="s">
        <v>106</v>
      </c>
      <c r="O93" s="47">
        <f t="shared" si="41"/>
        <v>8.7868739999999992</v>
      </c>
      <c r="P93" s="47">
        <f t="shared" si="31"/>
        <v>8.7868739999999992</v>
      </c>
      <c r="Q93" s="47">
        <f t="shared" si="32"/>
        <v>8.7868739999999992</v>
      </c>
      <c r="R93" s="65" t="s">
        <v>106</v>
      </c>
      <c r="S93" s="47">
        <f t="shared" si="36"/>
        <v>3.1632746399999995E-2</v>
      </c>
      <c r="T93" s="47">
        <f t="shared" si="37"/>
        <v>3.1632746399999995E-2</v>
      </c>
      <c r="U93" s="47">
        <f t="shared" si="38"/>
        <v>3.1632746399999995E-2</v>
      </c>
      <c r="V93" s="65"/>
    </row>
    <row r="94" spans="1:25" s="21" customFormat="1" x14ac:dyDescent="0.2">
      <c r="A94" s="6" t="s">
        <v>106</v>
      </c>
      <c r="B94" s="7">
        <v>7722</v>
      </c>
      <c r="C94" s="6" t="s">
        <v>108</v>
      </c>
      <c r="D94" s="6">
        <v>1</v>
      </c>
      <c r="E94" s="8">
        <v>8828488</v>
      </c>
      <c r="F94" s="8">
        <v>1270</v>
      </c>
      <c r="G94" s="8">
        <v>1123</v>
      </c>
      <c r="H94" s="9">
        <v>89.7</v>
      </c>
      <c r="I94" s="24" t="s">
        <v>58</v>
      </c>
      <c r="J94" s="20"/>
      <c r="K94" s="8">
        <v>8828488</v>
      </c>
      <c r="L94" s="8">
        <v>8828488</v>
      </c>
      <c r="M94" s="8">
        <v>8828488</v>
      </c>
      <c r="N94" s="65" t="s">
        <v>106</v>
      </c>
      <c r="O94" s="47">
        <f t="shared" si="41"/>
        <v>8.8284880000000001</v>
      </c>
      <c r="P94" s="47">
        <f t="shared" si="31"/>
        <v>8.8284880000000001</v>
      </c>
      <c r="Q94" s="47">
        <f t="shared" si="32"/>
        <v>8.8284880000000001</v>
      </c>
      <c r="R94" s="65" t="s">
        <v>106</v>
      </c>
      <c r="S94" s="47">
        <f t="shared" si="36"/>
        <v>3.17825568E-2</v>
      </c>
      <c r="T94" s="47">
        <f t="shared" si="37"/>
        <v>3.17825568E-2</v>
      </c>
      <c r="U94" s="47">
        <f t="shared" si="38"/>
        <v>3.17825568E-2</v>
      </c>
      <c r="V94" s="65"/>
    </row>
    <row r="95" spans="1:25" s="21" customFormat="1" x14ac:dyDescent="0.2">
      <c r="A95" s="6" t="s">
        <v>106</v>
      </c>
      <c r="B95" s="7">
        <v>7722</v>
      </c>
      <c r="C95" s="6" t="s">
        <v>108</v>
      </c>
      <c r="D95" s="6">
        <v>2</v>
      </c>
      <c r="E95" s="8">
        <v>9644145</v>
      </c>
      <c r="F95" s="8">
        <v>1270</v>
      </c>
      <c r="G95" s="8">
        <v>1122</v>
      </c>
      <c r="H95" s="9">
        <v>98.1</v>
      </c>
      <c r="I95" s="24" t="s">
        <v>58</v>
      </c>
      <c r="J95" s="20"/>
      <c r="K95" s="8">
        <v>9644145</v>
      </c>
      <c r="L95" s="8">
        <v>9644145</v>
      </c>
      <c r="M95" s="8">
        <v>9644145</v>
      </c>
      <c r="N95" s="65" t="s">
        <v>106</v>
      </c>
      <c r="O95" s="47">
        <f t="shared" si="41"/>
        <v>9.644145</v>
      </c>
      <c r="P95" s="47">
        <f t="shared" si="31"/>
        <v>9.644145</v>
      </c>
      <c r="Q95" s="47">
        <f t="shared" si="32"/>
        <v>9.644145</v>
      </c>
      <c r="R95" s="65" t="s">
        <v>106</v>
      </c>
      <c r="S95" s="47">
        <f t="shared" si="36"/>
        <v>3.4718921999999999E-2</v>
      </c>
      <c r="T95" s="47">
        <f t="shared" si="37"/>
        <v>3.4718921999999999E-2</v>
      </c>
      <c r="U95" s="47">
        <f t="shared" si="38"/>
        <v>3.4718921999999999E-2</v>
      </c>
      <c r="V95" s="65"/>
    </row>
    <row r="96" spans="1:25" s="21" customFormat="1" x14ac:dyDescent="0.2">
      <c r="A96" s="6" t="s">
        <v>109</v>
      </c>
      <c r="B96" s="7">
        <v>6145</v>
      </c>
      <c r="C96" s="6" t="s">
        <v>110</v>
      </c>
      <c r="D96" s="6">
        <v>1</v>
      </c>
      <c r="E96" s="8">
        <v>10656299</v>
      </c>
      <c r="F96" s="8">
        <v>1215</v>
      </c>
      <c r="G96" s="8">
        <v>1205</v>
      </c>
      <c r="H96" s="9">
        <v>101</v>
      </c>
      <c r="I96" s="24" t="s">
        <v>58</v>
      </c>
      <c r="J96" s="20"/>
      <c r="K96" s="8">
        <v>10656299</v>
      </c>
      <c r="L96" s="8">
        <v>10656299</v>
      </c>
      <c r="M96" s="8">
        <v>10656299</v>
      </c>
      <c r="N96" s="65" t="s">
        <v>109</v>
      </c>
      <c r="O96" s="47">
        <f t="shared" si="41"/>
        <v>10.656299000000001</v>
      </c>
      <c r="P96" s="47">
        <f t="shared" si="31"/>
        <v>10.656299000000001</v>
      </c>
      <c r="Q96" s="47">
        <f t="shared" si="32"/>
        <v>10.656299000000001</v>
      </c>
      <c r="R96" s="65" t="s">
        <v>109</v>
      </c>
      <c r="S96" s="47">
        <f t="shared" si="36"/>
        <v>3.8362676400000004E-2</v>
      </c>
      <c r="T96" s="47">
        <f t="shared" si="37"/>
        <v>3.8362676400000004E-2</v>
      </c>
      <c r="U96" s="47">
        <f t="shared" si="38"/>
        <v>3.8362676400000004E-2</v>
      </c>
      <c r="V96" s="65" t="s">
        <v>109</v>
      </c>
      <c r="W96" s="21">
        <f>SUM(S96:S99)</f>
        <v>0.1482686604</v>
      </c>
      <c r="X96" s="21">
        <f t="shared" ref="X96:Y96" si="44">SUM(T96:T99)</f>
        <v>0.1482686604</v>
      </c>
      <c r="Y96" s="21">
        <f t="shared" si="44"/>
        <v>0.1482686604</v>
      </c>
    </row>
    <row r="97" spans="1:25" s="21" customFormat="1" x14ac:dyDescent="0.2">
      <c r="A97" s="6" t="s">
        <v>109</v>
      </c>
      <c r="B97" s="7">
        <v>6145</v>
      </c>
      <c r="C97" s="6" t="s">
        <v>110</v>
      </c>
      <c r="D97" s="6">
        <v>2</v>
      </c>
      <c r="E97" s="8">
        <v>9841808</v>
      </c>
      <c r="F97" s="8">
        <v>1215</v>
      </c>
      <c r="G97" s="8">
        <v>1195</v>
      </c>
      <c r="H97" s="9">
        <v>94</v>
      </c>
      <c r="I97" s="24" t="s">
        <v>58</v>
      </c>
      <c r="J97" s="20"/>
      <c r="K97" s="8">
        <v>9841808</v>
      </c>
      <c r="L97" s="8">
        <v>9841808</v>
      </c>
      <c r="M97" s="8">
        <v>9841808</v>
      </c>
      <c r="N97" s="65" t="s">
        <v>109</v>
      </c>
      <c r="O97" s="47">
        <f t="shared" si="41"/>
        <v>9.8418080000000003</v>
      </c>
      <c r="P97" s="47">
        <f t="shared" si="31"/>
        <v>9.8418080000000003</v>
      </c>
      <c r="Q97" s="47">
        <f t="shared" si="32"/>
        <v>9.8418080000000003</v>
      </c>
      <c r="R97" s="65" t="s">
        <v>109</v>
      </c>
      <c r="S97" s="47">
        <f t="shared" si="36"/>
        <v>3.5430508800000003E-2</v>
      </c>
      <c r="T97" s="47">
        <f t="shared" si="37"/>
        <v>3.5430508800000003E-2</v>
      </c>
      <c r="U97" s="47">
        <f t="shared" si="38"/>
        <v>3.5430508800000003E-2</v>
      </c>
      <c r="V97" s="65"/>
    </row>
    <row r="98" spans="1:25" s="21" customFormat="1" x14ac:dyDescent="0.2">
      <c r="A98" s="6" t="s">
        <v>109</v>
      </c>
      <c r="B98" s="7">
        <v>6251</v>
      </c>
      <c r="C98" s="6" t="s">
        <v>111</v>
      </c>
      <c r="D98" s="6">
        <v>1</v>
      </c>
      <c r="E98" s="8">
        <v>10266911</v>
      </c>
      <c r="F98" s="8">
        <v>1354</v>
      </c>
      <c r="G98" s="8">
        <v>1280</v>
      </c>
      <c r="H98" s="9">
        <v>91.6</v>
      </c>
      <c r="I98" s="24" t="s">
        <v>58</v>
      </c>
      <c r="J98" s="20"/>
      <c r="K98" s="8">
        <v>10266911</v>
      </c>
      <c r="L98" s="8">
        <v>10266911</v>
      </c>
      <c r="M98" s="8">
        <v>10266911</v>
      </c>
      <c r="N98" s="65" t="s">
        <v>109</v>
      </c>
      <c r="O98" s="47">
        <f t="shared" si="41"/>
        <v>10.266911</v>
      </c>
      <c r="P98" s="47">
        <f t="shared" si="31"/>
        <v>10.266911</v>
      </c>
      <c r="Q98" s="47">
        <f t="shared" si="32"/>
        <v>10.266911</v>
      </c>
      <c r="R98" s="65" t="s">
        <v>109</v>
      </c>
      <c r="S98" s="47">
        <f t="shared" si="36"/>
        <v>3.6960879600000003E-2</v>
      </c>
      <c r="T98" s="47">
        <f t="shared" si="37"/>
        <v>3.6960879600000003E-2</v>
      </c>
      <c r="U98" s="47">
        <f t="shared" si="38"/>
        <v>3.6960879600000003E-2</v>
      </c>
      <c r="V98" s="65"/>
    </row>
    <row r="99" spans="1:25" s="21" customFormat="1" x14ac:dyDescent="0.2">
      <c r="A99" s="6" t="s">
        <v>109</v>
      </c>
      <c r="B99" s="7">
        <v>6251</v>
      </c>
      <c r="C99" s="6" t="s">
        <v>111</v>
      </c>
      <c r="D99" s="6">
        <v>2</v>
      </c>
      <c r="E99" s="8">
        <v>10420721</v>
      </c>
      <c r="F99" s="8">
        <v>1354</v>
      </c>
      <c r="G99" s="8">
        <v>1280</v>
      </c>
      <c r="H99" s="9">
        <v>92.9</v>
      </c>
      <c r="I99" s="24" t="s">
        <v>58</v>
      </c>
      <c r="J99" s="20"/>
      <c r="K99" s="8">
        <v>10420721</v>
      </c>
      <c r="L99" s="8">
        <v>10420721</v>
      </c>
      <c r="M99" s="8">
        <v>10420721</v>
      </c>
      <c r="N99" s="65" t="s">
        <v>109</v>
      </c>
      <c r="O99" s="47">
        <f t="shared" si="41"/>
        <v>10.420721</v>
      </c>
      <c r="P99" s="47">
        <f t="shared" si="31"/>
        <v>10.420721</v>
      </c>
      <c r="Q99" s="47">
        <f t="shared" si="32"/>
        <v>10.420721</v>
      </c>
      <c r="R99" s="65" t="s">
        <v>109</v>
      </c>
      <c r="S99" s="47">
        <f t="shared" si="36"/>
        <v>3.7514595599999999E-2</v>
      </c>
      <c r="T99" s="47">
        <f t="shared" si="37"/>
        <v>3.7514595599999999E-2</v>
      </c>
      <c r="U99" s="47">
        <f t="shared" si="38"/>
        <v>3.7514595599999999E-2</v>
      </c>
      <c r="V99" s="65"/>
    </row>
    <row r="100" spans="1:25" s="21" customFormat="1" x14ac:dyDescent="0.2">
      <c r="A100" s="6" t="s">
        <v>112</v>
      </c>
      <c r="B100" s="7">
        <v>3806</v>
      </c>
      <c r="C100" s="6" t="s">
        <v>113</v>
      </c>
      <c r="D100" s="6">
        <v>1</v>
      </c>
      <c r="E100" s="8">
        <v>5928070</v>
      </c>
      <c r="F100" s="8">
        <v>848</v>
      </c>
      <c r="G100" s="8">
        <v>838</v>
      </c>
      <c r="H100" s="9">
        <v>80.8</v>
      </c>
      <c r="I100" s="24" t="s">
        <v>58</v>
      </c>
      <c r="J100" s="20"/>
      <c r="K100" s="8">
        <v>5928070</v>
      </c>
      <c r="L100" s="8">
        <v>5928070</v>
      </c>
      <c r="M100" s="8">
        <v>5928070</v>
      </c>
      <c r="N100" s="65" t="s">
        <v>112</v>
      </c>
      <c r="O100" s="47">
        <f t="shared" si="41"/>
        <v>5.92807</v>
      </c>
      <c r="P100" s="47">
        <f t="shared" si="31"/>
        <v>5.92807</v>
      </c>
      <c r="Q100" s="47">
        <f t="shared" si="32"/>
        <v>5.92807</v>
      </c>
      <c r="R100" s="65" t="s">
        <v>112</v>
      </c>
      <c r="S100" s="47">
        <f t="shared" si="36"/>
        <v>2.1341051999999999E-2</v>
      </c>
      <c r="T100" s="47">
        <f t="shared" si="37"/>
        <v>2.1341051999999999E-2</v>
      </c>
      <c r="U100" s="47">
        <f t="shared" si="38"/>
        <v>2.1341051999999999E-2</v>
      </c>
      <c r="V100" s="65" t="s">
        <v>112</v>
      </c>
      <c r="W100" s="21">
        <f>SUM(S100:S103)</f>
        <v>0.10530600479999999</v>
      </c>
      <c r="X100" s="21">
        <f t="shared" ref="X100:Y100" si="45">SUM(T100:T103)</f>
        <v>0.10530600479999999</v>
      </c>
      <c r="Y100" s="21">
        <f t="shared" si="45"/>
        <v>0.10530600479999999</v>
      </c>
    </row>
    <row r="101" spans="1:25" s="21" customFormat="1" x14ac:dyDescent="0.2">
      <c r="A101" s="6" t="s">
        <v>112</v>
      </c>
      <c r="B101" s="7">
        <v>3806</v>
      </c>
      <c r="C101" s="6" t="s">
        <v>113</v>
      </c>
      <c r="D101" s="6">
        <v>2</v>
      </c>
      <c r="E101" s="8">
        <v>7291067</v>
      </c>
      <c r="F101" s="8">
        <v>848</v>
      </c>
      <c r="G101" s="8">
        <v>838</v>
      </c>
      <c r="H101" s="9">
        <v>99.3</v>
      </c>
      <c r="I101" s="24" t="s">
        <v>58</v>
      </c>
      <c r="J101" s="20"/>
      <c r="K101" s="8">
        <v>7291067</v>
      </c>
      <c r="L101" s="8">
        <v>7291067</v>
      </c>
      <c r="M101" s="8">
        <v>7291067</v>
      </c>
      <c r="N101" s="65" t="s">
        <v>112</v>
      </c>
      <c r="O101" s="47">
        <f t="shared" si="41"/>
        <v>7.291067</v>
      </c>
      <c r="P101" s="47">
        <f t="shared" si="31"/>
        <v>7.291067</v>
      </c>
      <c r="Q101" s="47">
        <f t="shared" si="32"/>
        <v>7.291067</v>
      </c>
      <c r="R101" s="65" t="s">
        <v>112</v>
      </c>
      <c r="S101" s="47">
        <f t="shared" si="36"/>
        <v>2.62478412E-2</v>
      </c>
      <c r="T101" s="47">
        <f t="shared" si="37"/>
        <v>2.62478412E-2</v>
      </c>
      <c r="U101" s="47">
        <f t="shared" si="38"/>
        <v>2.62478412E-2</v>
      </c>
      <c r="V101" s="65"/>
    </row>
    <row r="102" spans="1:25" customFormat="1" x14ac:dyDescent="0.2">
      <c r="A102" s="6" t="s">
        <v>112</v>
      </c>
      <c r="B102" s="7">
        <v>6168</v>
      </c>
      <c r="C102" s="6" t="s">
        <v>114</v>
      </c>
      <c r="D102" s="6">
        <v>1</v>
      </c>
      <c r="E102" s="8">
        <v>7603662</v>
      </c>
      <c r="F102" s="8">
        <v>980</v>
      </c>
      <c r="G102" s="8">
        <v>948</v>
      </c>
      <c r="H102" s="9">
        <v>91.6</v>
      </c>
      <c r="I102" s="24" t="s">
        <v>58</v>
      </c>
      <c r="J102" s="20"/>
      <c r="K102" s="8">
        <v>7603662</v>
      </c>
      <c r="L102" s="8">
        <v>7603662</v>
      </c>
      <c r="M102" s="8">
        <v>7603662</v>
      </c>
      <c r="N102" s="65" t="s">
        <v>112</v>
      </c>
      <c r="O102" s="47">
        <f t="shared" si="41"/>
        <v>7.6036619999999999</v>
      </c>
      <c r="P102" s="47">
        <f t="shared" si="31"/>
        <v>7.6036619999999999</v>
      </c>
      <c r="Q102" s="47">
        <f t="shared" si="32"/>
        <v>7.6036619999999999</v>
      </c>
      <c r="R102" s="65" t="s">
        <v>112</v>
      </c>
      <c r="S102" s="47">
        <f t="shared" si="36"/>
        <v>2.7373183199999998E-2</v>
      </c>
      <c r="T102" s="47">
        <f t="shared" si="37"/>
        <v>2.7373183199999998E-2</v>
      </c>
      <c r="U102" s="47">
        <f t="shared" si="38"/>
        <v>2.7373183199999998E-2</v>
      </c>
      <c r="V102" s="65"/>
    </row>
    <row r="103" spans="1:25" customFormat="1" x14ac:dyDescent="0.2">
      <c r="A103" s="6" t="s">
        <v>112</v>
      </c>
      <c r="B103" s="7">
        <v>6168</v>
      </c>
      <c r="C103" s="6" t="s">
        <v>114</v>
      </c>
      <c r="D103" s="6">
        <v>2</v>
      </c>
      <c r="E103" s="8">
        <v>8428869</v>
      </c>
      <c r="F103" s="8">
        <v>980</v>
      </c>
      <c r="G103" s="8">
        <v>944</v>
      </c>
      <c r="H103" s="9">
        <v>101.9</v>
      </c>
      <c r="I103" s="24" t="s">
        <v>58</v>
      </c>
      <c r="J103" s="19"/>
      <c r="K103" s="8">
        <v>8428869</v>
      </c>
      <c r="L103" s="8">
        <v>8428869</v>
      </c>
      <c r="M103" s="8">
        <v>8428869</v>
      </c>
      <c r="N103" s="65" t="s">
        <v>112</v>
      </c>
      <c r="O103" s="47">
        <f>K103/1000000</f>
        <v>8.4288690000000006</v>
      </c>
      <c r="P103" s="47">
        <f t="shared" si="31"/>
        <v>8.4288690000000006</v>
      </c>
      <c r="Q103" s="47">
        <f t="shared" si="32"/>
        <v>8.4288690000000006</v>
      </c>
      <c r="R103" s="65" t="s">
        <v>112</v>
      </c>
      <c r="S103" s="47">
        <f t="shared" si="36"/>
        <v>3.0343928400000001E-2</v>
      </c>
      <c r="T103" s="47">
        <f t="shared" si="37"/>
        <v>3.0343928400000001E-2</v>
      </c>
      <c r="U103" s="47">
        <f t="shared" si="38"/>
        <v>3.0343928400000001E-2</v>
      </c>
      <c r="V103" s="65"/>
    </row>
    <row r="104" spans="1:25" customFormat="1" x14ac:dyDescent="0.2">
      <c r="A104" s="6" t="s">
        <v>115</v>
      </c>
      <c r="B104" s="7">
        <v>371</v>
      </c>
      <c r="C104" s="6" t="s">
        <v>116</v>
      </c>
      <c r="D104" s="6">
        <v>2</v>
      </c>
      <c r="E104" s="8">
        <v>9708441</v>
      </c>
      <c r="F104" s="8">
        <v>1200</v>
      </c>
      <c r="G104" s="8">
        <v>1177</v>
      </c>
      <c r="H104" s="9">
        <v>94.2</v>
      </c>
      <c r="I104" s="24" t="s">
        <v>58</v>
      </c>
      <c r="J104" s="19"/>
      <c r="K104" s="8">
        <v>9708441</v>
      </c>
      <c r="L104" s="8">
        <v>9708441</v>
      </c>
      <c r="M104" s="8">
        <v>9708441</v>
      </c>
      <c r="N104" s="65" t="s">
        <v>115</v>
      </c>
      <c r="O104" s="47">
        <f t="shared" ref="O104:O106" si="46">K104/1000000</f>
        <v>9.7084410000000005</v>
      </c>
      <c r="P104" s="47">
        <f t="shared" si="31"/>
        <v>9.7084410000000005</v>
      </c>
      <c r="Q104" s="47">
        <f t="shared" si="32"/>
        <v>9.7084410000000005</v>
      </c>
      <c r="R104" s="65" t="s">
        <v>115</v>
      </c>
      <c r="S104" s="47">
        <f t="shared" si="36"/>
        <v>3.49503876E-2</v>
      </c>
      <c r="T104" s="47">
        <f t="shared" si="37"/>
        <v>3.49503876E-2</v>
      </c>
      <c r="U104" s="47">
        <f t="shared" si="38"/>
        <v>3.49503876E-2</v>
      </c>
      <c r="V104" s="65" t="s">
        <v>115</v>
      </c>
      <c r="W104">
        <f>S104</f>
        <v>3.49503876E-2</v>
      </c>
      <c r="X104">
        <f t="shared" ref="X104:Y104" si="47">T104</f>
        <v>3.49503876E-2</v>
      </c>
      <c r="Y104">
        <f t="shared" si="47"/>
        <v>3.49503876E-2</v>
      </c>
    </row>
    <row r="105" spans="1:25" customFormat="1" x14ac:dyDescent="0.2">
      <c r="A105" s="6" t="s">
        <v>117</v>
      </c>
      <c r="B105" s="7">
        <v>4046</v>
      </c>
      <c r="C105" s="6" t="s">
        <v>118</v>
      </c>
      <c r="D105" s="6">
        <v>1</v>
      </c>
      <c r="E105" s="8">
        <v>5183249</v>
      </c>
      <c r="F105" s="8">
        <v>643</v>
      </c>
      <c r="G105" s="8">
        <v>596</v>
      </c>
      <c r="H105" s="9">
        <v>99.3</v>
      </c>
      <c r="I105" s="24" t="s">
        <v>58</v>
      </c>
      <c r="J105" s="19"/>
      <c r="K105" s="8">
        <v>5183249</v>
      </c>
      <c r="L105" s="8">
        <v>5183249</v>
      </c>
      <c r="M105" s="8">
        <v>5183249</v>
      </c>
      <c r="N105" s="65" t="s">
        <v>117</v>
      </c>
      <c r="O105" s="47">
        <f t="shared" si="46"/>
        <v>5.183249</v>
      </c>
      <c r="P105" s="47">
        <f t="shared" si="31"/>
        <v>5.183249</v>
      </c>
      <c r="Q105" s="47">
        <f t="shared" si="32"/>
        <v>5.183249</v>
      </c>
      <c r="R105" s="65" t="s">
        <v>117</v>
      </c>
      <c r="S105" s="47">
        <f t="shared" si="36"/>
        <v>1.8659696399999998E-2</v>
      </c>
      <c r="T105" s="47">
        <f t="shared" si="37"/>
        <v>1.8659696399999998E-2</v>
      </c>
      <c r="U105" s="47">
        <f t="shared" si="38"/>
        <v>1.8659696399999998E-2</v>
      </c>
      <c r="V105" s="65" t="s">
        <v>117</v>
      </c>
      <c r="W105">
        <f>SUM(S105:S106)</f>
        <v>3.6464839200000002E-2</v>
      </c>
      <c r="X105">
        <f t="shared" ref="X105:Y105" si="48">SUM(T105:T106)</f>
        <v>3.6464839200000002E-2</v>
      </c>
      <c r="Y105">
        <f t="shared" si="48"/>
        <v>3.6464839200000002E-2</v>
      </c>
    </row>
    <row r="106" spans="1:25" customFormat="1" x14ac:dyDescent="0.2">
      <c r="A106" s="6" t="s">
        <v>117</v>
      </c>
      <c r="B106" s="7">
        <v>4046</v>
      </c>
      <c r="C106" s="6" t="s">
        <v>118</v>
      </c>
      <c r="D106" s="6">
        <v>2</v>
      </c>
      <c r="E106" s="8">
        <v>4945873</v>
      </c>
      <c r="F106" s="8">
        <v>643</v>
      </c>
      <c r="G106" s="8">
        <v>600</v>
      </c>
      <c r="H106" s="9">
        <v>94.1</v>
      </c>
      <c r="I106" s="24" t="s">
        <v>58</v>
      </c>
      <c r="J106" s="19"/>
      <c r="K106" s="8">
        <v>4945873</v>
      </c>
      <c r="L106" s="8">
        <v>4945873</v>
      </c>
      <c r="M106" s="8">
        <v>4945873</v>
      </c>
      <c r="N106" s="65" t="s">
        <v>117</v>
      </c>
      <c r="O106" s="47">
        <f t="shared" si="46"/>
        <v>4.9458729999999997</v>
      </c>
      <c r="P106" s="47">
        <f t="shared" si="31"/>
        <v>4.9458729999999997</v>
      </c>
      <c r="Q106" s="47">
        <f t="shared" si="32"/>
        <v>4.9458729999999997</v>
      </c>
      <c r="R106" s="65" t="s">
        <v>117</v>
      </c>
      <c r="S106" s="47">
        <f t="shared" si="36"/>
        <v>1.78051428E-2</v>
      </c>
      <c r="T106" s="47">
        <f t="shared" si="37"/>
        <v>1.78051428E-2</v>
      </c>
      <c r="U106" s="47">
        <f t="shared" si="38"/>
        <v>1.78051428E-2</v>
      </c>
      <c r="V106" s="65"/>
    </row>
    <row r="107" spans="1:25" x14ac:dyDescent="0.2">
      <c r="S107"/>
      <c r="T107"/>
      <c r="U107"/>
    </row>
    <row r="108" spans="1:25" customFormat="1" x14ac:dyDescent="0.2">
      <c r="A108" s="6" t="s">
        <v>119</v>
      </c>
      <c r="B108" s="7" t="s">
        <v>26</v>
      </c>
      <c r="C108" s="6" t="s">
        <v>4</v>
      </c>
      <c r="D108" s="6" t="s">
        <v>4</v>
      </c>
      <c r="E108" s="8">
        <v>807077759</v>
      </c>
      <c r="F108" s="8">
        <v>104242</v>
      </c>
      <c r="G108" s="8">
        <v>99355</v>
      </c>
      <c r="H108" s="9">
        <v>92.7</v>
      </c>
      <c r="I108" s="24" t="s">
        <v>58</v>
      </c>
      <c r="J108" s="19"/>
      <c r="K108" s="59">
        <f>SUM(K7:K106)</f>
        <v>791760057</v>
      </c>
      <c r="L108" s="59">
        <f>SUM(L7:L106)</f>
        <v>782289758</v>
      </c>
      <c r="M108" s="59">
        <f>SUM(M7:M106)</f>
        <v>782289758</v>
      </c>
      <c r="N108" s="67"/>
      <c r="O108" s="47">
        <f>K108/1000000</f>
        <v>791.76005699999996</v>
      </c>
      <c r="P108" s="47">
        <f t="shared" ref="P108:Q108" si="49">L108/1000000</f>
        <v>782.28975800000001</v>
      </c>
      <c r="Q108" s="47">
        <f t="shared" si="49"/>
        <v>782.28975800000001</v>
      </c>
      <c r="R108" s="64"/>
      <c r="S108" s="47">
        <f t="shared" si="36"/>
        <v>2.8503362051999996</v>
      </c>
      <c r="T108" s="47">
        <f t="shared" si="37"/>
        <v>2.8162431288000001</v>
      </c>
      <c r="U108" s="47">
        <f t="shared" si="38"/>
        <v>2.8162431288000001</v>
      </c>
      <c r="V108" s="64"/>
      <c r="W108" s="70">
        <f>SUM(W7:W106)</f>
        <v>2.8503362052000001</v>
      </c>
      <c r="X108" s="70">
        <f>SUM(X7:X106)</f>
        <v>2.8162431288000001</v>
      </c>
      <c r="Y108" s="70">
        <f>SUM(Y7:Y106)</f>
        <v>2.8162431288000001</v>
      </c>
    </row>
    <row r="109" spans="1:25" customFormat="1" x14ac:dyDescent="0.2">
      <c r="A109" s="1"/>
      <c r="B109" s="1"/>
      <c r="C109" s="1"/>
      <c r="D109" s="1"/>
      <c r="E109" s="1"/>
      <c r="F109" s="1"/>
      <c r="G109" s="1"/>
      <c r="H109" s="1"/>
      <c r="I109" s="1"/>
      <c r="K109" s="1"/>
      <c r="L109" s="18"/>
      <c r="M109" s="18"/>
      <c r="N109" s="64"/>
      <c r="R109" s="64"/>
      <c r="V109" s="64"/>
    </row>
    <row r="111" spans="1:25" x14ac:dyDescent="0.2">
      <c r="K111" s="28"/>
      <c r="L111" s="29"/>
      <c r="M111" s="29"/>
      <c r="N111" s="68"/>
    </row>
    <row r="112" spans="1:25" x14ac:dyDescent="0.2">
      <c r="K112" s="29"/>
      <c r="L112" s="28"/>
      <c r="M112" s="28"/>
      <c r="N112" s="69"/>
    </row>
    <row r="113" spans="11:14" ht="63" customHeight="1" x14ac:dyDescent="0.2">
      <c r="K113" s="29"/>
      <c r="L113" s="28"/>
      <c r="M113" s="28"/>
      <c r="N113" s="69"/>
    </row>
    <row r="114" spans="11:14" x14ac:dyDescent="0.2">
      <c r="K114" s="29"/>
      <c r="L114" s="28"/>
      <c r="M114" s="28"/>
      <c r="N114" s="69"/>
    </row>
  </sheetData>
  <autoFilter ref="A6:N6" xr:uid="{00000000-0001-0000-0000-000000000000}">
    <sortState xmlns:xlrd2="http://schemas.microsoft.com/office/spreadsheetml/2017/richdata2" ref="A7:N106">
      <sortCondition ref="A6:A106"/>
    </sortState>
  </autoFilter>
  <sortState xmlns:xlrd2="http://schemas.microsoft.com/office/spreadsheetml/2017/richdata2" ref="A7:N106">
    <sortCondition sortBy="cellColor" ref="A7:A106" dxfId="9"/>
    <sortCondition sortBy="cellColor" ref="A7:A106" dxfId="8"/>
    <sortCondition sortBy="cellColor" ref="A7:A106" dxfId="7"/>
    <sortCondition sortBy="cellColor" ref="A7:A106" dxfId="6"/>
    <sortCondition sortBy="cellColor" ref="A7:A106" dxfId="5"/>
  </sortState>
  <mergeCells count="6">
    <mergeCell ref="W5:Y5"/>
    <mergeCell ref="A5:D5"/>
    <mergeCell ref="F5:G5"/>
    <mergeCell ref="K5:M5"/>
    <mergeCell ref="O5:Q5"/>
    <mergeCell ref="S5:U5"/>
  </mergeCells>
  <conditionalFormatting sqref="A7:A106">
    <cfRule type="containsText" dxfId="4" priority="4" operator="containsText" text="tota">
      <formula>NOT(ISERROR(SEARCH("tota",A7)))</formula>
    </cfRule>
  </conditionalFormatting>
  <conditionalFormatting sqref="N7:N106">
    <cfRule type="containsText" dxfId="2" priority="3" operator="containsText" text="tota">
      <formula>NOT(ISERROR(SEARCH("tota",N7)))</formula>
    </cfRule>
  </conditionalFormatting>
  <conditionalFormatting sqref="R7:R106">
    <cfRule type="containsText" dxfId="1" priority="2" operator="containsText" text="tota">
      <formula>NOT(ISERROR(SEARCH("tota",R7)))</formula>
    </cfRule>
  </conditionalFormatting>
  <conditionalFormatting sqref="V7:V106">
    <cfRule type="containsText" dxfId="0" priority="1" operator="containsText" text="tota">
      <formula>NOT(ISERROR(SEARCH("tota",V7)))</formula>
    </cfRule>
  </conditionalFormatting>
  <pageMargins left="0.75" right="0.75" top="1" bottom="1" header="0.5" footer="0.5"/>
  <pageSetup fitToHeight="10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National Summary</vt:lpstr>
      <vt:lpstr>Data by plant and state</vt:lpstr>
      <vt:lpstr>'Data by plant and state'!Print_Titles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Tyra, Brady</dc:creator>
  <cp:keywords/>
  <dc:description/>
  <cp:lastModifiedBy>Kowan O'Keefe</cp:lastModifiedBy>
  <cp:revision/>
  <dcterms:created xsi:type="dcterms:W3CDTF">2019-02-28T16:37:05Z</dcterms:created>
  <dcterms:modified xsi:type="dcterms:W3CDTF">2022-09-25T18:52:21Z</dcterms:modified>
  <cp:category/>
  <cp:contentStatus/>
</cp:coreProperties>
</file>