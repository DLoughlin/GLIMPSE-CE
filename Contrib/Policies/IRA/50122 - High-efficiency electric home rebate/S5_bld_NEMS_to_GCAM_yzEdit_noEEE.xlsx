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ouya716/working-go-deep/input/gcamdata/IRA/"/>
    </mc:Choice>
  </mc:AlternateContent>
  <xr:revisionPtr revIDLastSave="0" documentId="13_ncr:1_{5DDFE6E3-1878-5540-AA2A-1A94ED4325EF}" xr6:coauthVersionLast="47" xr6:coauthVersionMax="47" xr10:uidLastSave="{00000000-0000-0000-0000-000000000000}"/>
  <bookViews>
    <workbookView xWindow="38420" yWindow="460" windowWidth="38380" windowHeight="19480" tabRatio="842" xr2:uid="{00000000-000D-0000-FFFF-FFFF00000000}"/>
  </bookViews>
  <sheets>
    <sheet name="res_cost_IRA" sheetId="23" r:id="rId1"/>
    <sheet name="res_cost" sheetId="11" r:id="rId2"/>
    <sheet name="comm_cost" sheetId="18" r:id="rId3"/>
    <sheet name="res_eff" sheetId="17" r:id="rId4"/>
    <sheet name="comm_eff" sheetId="19" r:id="rId5"/>
    <sheet name="A44.globaltech_cost.csv" sheetId="20" r:id="rId6"/>
    <sheet name="A44.globaltech_eff.csv" sheetId="21" r:id="rId7"/>
  </sheets>
  <externalReferences>
    <externalReference r:id="rId8"/>
  </externalReferences>
  <definedNames>
    <definedName name="_xlnm._FilterDatabase" localSheetId="1" hidden="1">res_cost!$A$2:$AK$41</definedName>
    <definedName name="_xlnm._FilterDatabase" localSheetId="0" hidden="1">res_cost_IRA!$A$2:$AK$41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0" i="23" l="1"/>
  <c r="F10" i="23"/>
  <c r="G10" i="23"/>
  <c r="H10" i="23"/>
  <c r="I10" i="23"/>
  <c r="J10" i="23"/>
  <c r="Z10" i="23" s="1"/>
  <c r="K10" i="23"/>
  <c r="AA10" i="23" s="1"/>
  <c r="L10" i="23"/>
  <c r="AB10" i="23" s="1"/>
  <c r="M10" i="23"/>
  <c r="D10" i="23"/>
  <c r="C50" i="23"/>
  <c r="E26" i="23"/>
  <c r="F26" i="23"/>
  <c r="G26" i="23"/>
  <c r="H26" i="23"/>
  <c r="I26" i="23"/>
  <c r="J26" i="23"/>
  <c r="K26" i="23"/>
  <c r="L26" i="23"/>
  <c r="M26" i="23"/>
  <c r="D26" i="23"/>
  <c r="E22" i="23"/>
  <c r="F22" i="23"/>
  <c r="G22" i="23"/>
  <c r="H22" i="23"/>
  <c r="I22" i="23"/>
  <c r="J22" i="23"/>
  <c r="K22" i="23"/>
  <c r="L22" i="23"/>
  <c r="M22" i="23"/>
  <c r="D22" i="23"/>
  <c r="C48" i="23"/>
  <c r="C47" i="23"/>
  <c r="L6" i="23" s="1"/>
  <c r="AB6" i="23" s="1"/>
  <c r="J6" i="23"/>
  <c r="Z6" i="23" s="1"/>
  <c r="K6" i="23"/>
  <c r="AA6" i="23" s="1"/>
  <c r="E6" i="23"/>
  <c r="U6" i="23" s="1"/>
  <c r="E13" i="23"/>
  <c r="F13" i="23"/>
  <c r="G13" i="23"/>
  <c r="H13" i="23"/>
  <c r="I13" i="23"/>
  <c r="Y13" i="23" s="1"/>
  <c r="J13" i="23"/>
  <c r="Z13" i="23" s="1"/>
  <c r="K13" i="23"/>
  <c r="AA13" i="23" s="1"/>
  <c r="L13" i="23"/>
  <c r="AB13" i="23" s="1"/>
  <c r="M13" i="23"/>
  <c r="AC13" i="23" s="1"/>
  <c r="D13" i="23"/>
  <c r="C46" i="23"/>
  <c r="B43" i="23"/>
  <c r="AE35" i="23"/>
  <c r="AC35" i="23"/>
  <c r="AB35" i="23"/>
  <c r="AA35" i="23"/>
  <c r="Z35" i="23"/>
  <c r="Y35" i="23"/>
  <c r="X35" i="23"/>
  <c r="W35" i="23"/>
  <c r="V35" i="23"/>
  <c r="U35" i="23"/>
  <c r="T35" i="23"/>
  <c r="AE34" i="23"/>
  <c r="AC34" i="23"/>
  <c r="AB34" i="23"/>
  <c r="AA34" i="23"/>
  <c r="Z34" i="23"/>
  <c r="Y34" i="23"/>
  <c r="X34" i="23"/>
  <c r="W34" i="23"/>
  <c r="V34" i="23"/>
  <c r="U34" i="23"/>
  <c r="T34" i="23"/>
  <c r="AE33" i="23"/>
  <c r="AC33" i="23"/>
  <c r="AB33" i="23"/>
  <c r="AA33" i="23"/>
  <c r="Z33" i="23"/>
  <c r="Y33" i="23"/>
  <c r="X33" i="23"/>
  <c r="W33" i="23"/>
  <c r="V33" i="23"/>
  <c r="U33" i="23"/>
  <c r="T33" i="23"/>
  <c r="AE32" i="23"/>
  <c r="AC32" i="23"/>
  <c r="AB32" i="23"/>
  <c r="AA32" i="23"/>
  <c r="Z32" i="23"/>
  <c r="Y32" i="23"/>
  <c r="X32" i="23"/>
  <c r="W32" i="23"/>
  <c r="V32" i="23"/>
  <c r="U32" i="23"/>
  <c r="T32" i="23"/>
  <c r="AE31" i="23"/>
  <c r="AB31" i="23"/>
  <c r="T31" i="23"/>
  <c r="R31" i="23"/>
  <c r="X31" i="23" s="1"/>
  <c r="Q31" i="23"/>
  <c r="Z31" i="23" s="1"/>
  <c r="AE30" i="23"/>
  <c r="Y30" i="23"/>
  <c r="X30" i="23"/>
  <c r="R30" i="23"/>
  <c r="AC30" i="23" s="1"/>
  <c r="Q30" i="23"/>
  <c r="W30" i="23" s="1"/>
  <c r="AE29" i="23"/>
  <c r="AC29" i="23"/>
  <c r="X29" i="23"/>
  <c r="V29" i="23"/>
  <c r="U29" i="23"/>
  <c r="R29" i="23"/>
  <c r="Q29" i="23"/>
  <c r="AB29" i="23" s="1"/>
  <c r="AE28" i="23"/>
  <c r="R28" i="23"/>
  <c r="Y28" i="23" s="1"/>
  <c r="AE27" i="23"/>
  <c r="Y27" i="23"/>
  <c r="W27" i="23"/>
  <c r="V27" i="23"/>
  <c r="R27" i="23"/>
  <c r="AC27" i="23" s="1"/>
  <c r="AE26" i="23"/>
  <c r="R26" i="23"/>
  <c r="Y26" i="23" s="1"/>
  <c r="AE25" i="23"/>
  <c r="AE24" i="23"/>
  <c r="R24" i="23"/>
  <c r="Y24" i="23" s="1"/>
  <c r="AE23" i="23"/>
  <c r="Y23" i="23"/>
  <c r="W23" i="23"/>
  <c r="V23" i="23"/>
  <c r="R23" i="23"/>
  <c r="AC23" i="23" s="1"/>
  <c r="AE22" i="23"/>
  <c r="R22" i="23"/>
  <c r="AE21" i="23"/>
  <c r="AE20" i="23"/>
  <c r="R20" i="23"/>
  <c r="Y20" i="23" s="1"/>
  <c r="AE19" i="23"/>
  <c r="AE18" i="23"/>
  <c r="R18" i="23"/>
  <c r="Y18" i="23" s="1"/>
  <c r="AE17" i="23"/>
  <c r="AC17" i="23"/>
  <c r="AB17" i="23"/>
  <c r="AA17" i="23"/>
  <c r="Z17" i="23"/>
  <c r="Y17" i="23"/>
  <c r="X17" i="23"/>
  <c r="W17" i="23"/>
  <c r="V17" i="23"/>
  <c r="U17" i="23"/>
  <c r="T17" i="23"/>
  <c r="AE16" i="23"/>
  <c r="AC16" i="23"/>
  <c r="AB16" i="23"/>
  <c r="AA16" i="23"/>
  <c r="Z16" i="23"/>
  <c r="Y16" i="23"/>
  <c r="X16" i="23"/>
  <c r="W16" i="23"/>
  <c r="V16" i="23"/>
  <c r="U16" i="23"/>
  <c r="T16" i="23"/>
  <c r="AE15" i="23"/>
  <c r="AC15" i="23"/>
  <c r="AB15" i="23"/>
  <c r="AA15" i="23"/>
  <c r="Z15" i="23"/>
  <c r="Y15" i="23"/>
  <c r="X15" i="23"/>
  <c r="W15" i="23"/>
  <c r="V15" i="23"/>
  <c r="U15" i="23"/>
  <c r="T15" i="23"/>
  <c r="AE14" i="23"/>
  <c r="AC14" i="23"/>
  <c r="AB14" i="23"/>
  <c r="AA14" i="23"/>
  <c r="Z14" i="23"/>
  <c r="Y14" i="23"/>
  <c r="X14" i="23"/>
  <c r="W14" i="23"/>
  <c r="V14" i="23"/>
  <c r="U14" i="23"/>
  <c r="T14" i="23"/>
  <c r="AE13" i="23"/>
  <c r="X13" i="23"/>
  <c r="W13" i="23"/>
  <c r="V13" i="23"/>
  <c r="U13" i="23"/>
  <c r="T13" i="23"/>
  <c r="AE12" i="23"/>
  <c r="AC12" i="23"/>
  <c r="AB12" i="23"/>
  <c r="AA12" i="23"/>
  <c r="Z12" i="23"/>
  <c r="Y12" i="23"/>
  <c r="X12" i="23"/>
  <c r="W12" i="23"/>
  <c r="V12" i="23"/>
  <c r="U12" i="23"/>
  <c r="T12" i="23"/>
  <c r="AE11" i="23"/>
  <c r="AC11" i="23"/>
  <c r="AB11" i="23"/>
  <c r="AA11" i="23"/>
  <c r="Z11" i="23"/>
  <c r="Y11" i="23"/>
  <c r="X11" i="23"/>
  <c r="W11" i="23"/>
  <c r="V11" i="23"/>
  <c r="U11" i="23"/>
  <c r="T11" i="23"/>
  <c r="AE10" i="23"/>
  <c r="AC10" i="23"/>
  <c r="Y10" i="23"/>
  <c r="X10" i="23"/>
  <c r="W10" i="23"/>
  <c r="V10" i="23"/>
  <c r="U10" i="23"/>
  <c r="T10" i="23"/>
  <c r="AE9" i="23"/>
  <c r="AC9" i="23"/>
  <c r="AB9" i="23"/>
  <c r="AA9" i="23"/>
  <c r="Z9" i="23"/>
  <c r="Y9" i="23"/>
  <c r="X9" i="23"/>
  <c r="W9" i="23"/>
  <c r="V9" i="23"/>
  <c r="U9" i="23"/>
  <c r="T9" i="23"/>
  <c r="AE8" i="23"/>
  <c r="AC8" i="23"/>
  <c r="AB8" i="23"/>
  <c r="AA8" i="23"/>
  <c r="Z8" i="23"/>
  <c r="Y8" i="23"/>
  <c r="X8" i="23"/>
  <c r="W8" i="23"/>
  <c r="V8" i="23"/>
  <c r="U8" i="23"/>
  <c r="T8" i="23"/>
  <c r="AE7" i="23"/>
  <c r="AC7" i="23"/>
  <c r="AB7" i="23"/>
  <c r="AA7" i="23"/>
  <c r="Z7" i="23"/>
  <c r="Y7" i="23"/>
  <c r="X7" i="23"/>
  <c r="W7" i="23"/>
  <c r="V7" i="23"/>
  <c r="U7" i="23"/>
  <c r="T7" i="23"/>
  <c r="AE6" i="23"/>
  <c r="AE5" i="23"/>
  <c r="AC5" i="23"/>
  <c r="AB5" i="23"/>
  <c r="AA5" i="23"/>
  <c r="Z5" i="23"/>
  <c r="Y5" i="23"/>
  <c r="X5" i="23"/>
  <c r="W5" i="23"/>
  <c r="V5" i="23"/>
  <c r="U5" i="23"/>
  <c r="T5" i="23"/>
  <c r="AE4" i="23"/>
  <c r="AC4" i="23"/>
  <c r="AB4" i="23"/>
  <c r="AA4" i="23"/>
  <c r="Z4" i="23"/>
  <c r="Y4" i="23"/>
  <c r="X4" i="23"/>
  <c r="W4" i="23"/>
  <c r="V4" i="23"/>
  <c r="U4" i="23"/>
  <c r="T4" i="23"/>
  <c r="AE3" i="23"/>
  <c r="AC3" i="23"/>
  <c r="AB3" i="23"/>
  <c r="AA3" i="23"/>
  <c r="Z3" i="23"/>
  <c r="Y3" i="23"/>
  <c r="X3" i="23"/>
  <c r="W3" i="23"/>
  <c r="V3" i="23"/>
  <c r="U3" i="23"/>
  <c r="T3" i="23"/>
  <c r="J23" i="19"/>
  <c r="AA3" i="11"/>
  <c r="AB3" i="11"/>
  <c r="AA4" i="11"/>
  <c r="AB4" i="11"/>
  <c r="AA5" i="11"/>
  <c r="AB5" i="11"/>
  <c r="AA6" i="11"/>
  <c r="AB6" i="11"/>
  <c r="AA7" i="11"/>
  <c r="AB7" i="11"/>
  <c r="AA8" i="11"/>
  <c r="AB8" i="11"/>
  <c r="AA9" i="11"/>
  <c r="AB9" i="11"/>
  <c r="AA10" i="11"/>
  <c r="AB10" i="11"/>
  <c r="AA11" i="11"/>
  <c r="AB11" i="11"/>
  <c r="AA12" i="11"/>
  <c r="AB12" i="11"/>
  <c r="AA13" i="11"/>
  <c r="AB13" i="11"/>
  <c r="AA14" i="11"/>
  <c r="AB14" i="11"/>
  <c r="AA15" i="11"/>
  <c r="AB15" i="11"/>
  <c r="AA16" i="11"/>
  <c r="AB16" i="11"/>
  <c r="AA17" i="11"/>
  <c r="AB17" i="11"/>
  <c r="AA32" i="11"/>
  <c r="AB32" i="11"/>
  <c r="AA33" i="11"/>
  <c r="AB33" i="11"/>
  <c r="AA34" i="11"/>
  <c r="AB34" i="11"/>
  <c r="AA35" i="11"/>
  <c r="AB35" i="11"/>
  <c r="Y3" i="17"/>
  <c r="Z3" i="17"/>
  <c r="Y4" i="17"/>
  <c r="Z4" i="17"/>
  <c r="N6" i="21" s="1"/>
  <c r="Y5" i="17"/>
  <c r="M7" i="21" s="1"/>
  <c r="Z5" i="17"/>
  <c r="N7" i="21" s="1"/>
  <c r="Y6" i="17"/>
  <c r="Z6" i="17"/>
  <c r="N8" i="21" s="1"/>
  <c r="Y7" i="17"/>
  <c r="M9" i="21" s="1"/>
  <c r="Z7" i="17"/>
  <c r="Y8" i="17"/>
  <c r="Z8" i="17"/>
  <c r="N10" i="21" s="1"/>
  <c r="Y9" i="17"/>
  <c r="Z9" i="17"/>
  <c r="N11" i="21" s="1"/>
  <c r="Y10" i="17"/>
  <c r="Z10" i="17"/>
  <c r="N12" i="21" s="1"/>
  <c r="Y11" i="17"/>
  <c r="M13" i="21" s="1"/>
  <c r="Z11" i="17"/>
  <c r="Y12" i="17"/>
  <c r="Z12" i="17"/>
  <c r="N14" i="21" s="1"/>
  <c r="Y13" i="17"/>
  <c r="M17" i="21" s="1"/>
  <c r="Z13" i="17"/>
  <c r="Y14" i="17"/>
  <c r="Z14" i="17"/>
  <c r="N15" i="21" s="1"/>
  <c r="Y15" i="17"/>
  <c r="M16" i="21" s="1"/>
  <c r="Z15" i="17"/>
  <c r="Y16" i="17"/>
  <c r="Z16" i="17"/>
  <c r="N18" i="21" s="1"/>
  <c r="Y17" i="17"/>
  <c r="Z17" i="17"/>
  <c r="N19" i="21" s="1"/>
  <c r="Y18" i="17"/>
  <c r="Z18" i="17"/>
  <c r="N23" i="21" s="1"/>
  <c r="Y19" i="17"/>
  <c r="M24" i="21" s="1"/>
  <c r="Z19" i="17"/>
  <c r="Y20" i="17"/>
  <c r="Z20" i="17"/>
  <c r="Y21" i="17"/>
  <c r="M31" i="21" s="1"/>
  <c r="Z21" i="17"/>
  <c r="N31" i="21" s="1"/>
  <c r="Y23" i="17"/>
  <c r="Z23" i="17"/>
  <c r="N36" i="21" s="1"/>
  <c r="Y24" i="17"/>
  <c r="Z24" i="17"/>
  <c r="Y25" i="17"/>
  <c r="M34" i="21" s="1"/>
  <c r="Z25" i="17"/>
  <c r="N34" i="21" s="1"/>
  <c r="Y26" i="17"/>
  <c r="Z26" i="17"/>
  <c r="N35" i="21" s="1"/>
  <c r="Y27" i="17"/>
  <c r="Z27" i="17"/>
  <c r="N25" i="21" s="1"/>
  <c r="Y28" i="17"/>
  <c r="M26" i="21" s="1"/>
  <c r="Z28" i="17"/>
  <c r="Y29" i="17"/>
  <c r="M20" i="21" s="1"/>
  <c r="Z29" i="17"/>
  <c r="N20" i="21" s="1"/>
  <c r="Y30" i="17"/>
  <c r="Z30" i="17"/>
  <c r="N21" i="21" s="1"/>
  <c r="Y31" i="17"/>
  <c r="Z31" i="17"/>
  <c r="N22" i="21" s="1"/>
  <c r="Y32" i="17"/>
  <c r="M37" i="21" s="1"/>
  <c r="Z32" i="17"/>
  <c r="Y33" i="17"/>
  <c r="M38" i="21" s="1"/>
  <c r="Z33" i="17"/>
  <c r="N38" i="21" s="1"/>
  <c r="Y34" i="17"/>
  <c r="Z34" i="17"/>
  <c r="N27" i="21" s="1"/>
  <c r="Y35" i="17"/>
  <c r="Z35" i="17"/>
  <c r="AA29" i="17"/>
  <c r="F48" i="21"/>
  <c r="F49" i="21"/>
  <c r="F50" i="21"/>
  <c r="E50" i="21" s="1"/>
  <c r="F51" i="21"/>
  <c r="F52" i="21"/>
  <c r="F53" i="21"/>
  <c r="F54" i="21"/>
  <c r="F55" i="21"/>
  <c r="F56" i="21"/>
  <c r="F57" i="21"/>
  <c r="F58" i="21"/>
  <c r="F59" i="21"/>
  <c r="E59" i="21" s="1"/>
  <c r="F62" i="21"/>
  <c r="F63" i="21"/>
  <c r="F64" i="21"/>
  <c r="F65" i="21"/>
  <c r="F69" i="21"/>
  <c r="F70" i="21"/>
  <c r="G52" i="21"/>
  <c r="H52" i="21"/>
  <c r="I52" i="21"/>
  <c r="J52" i="21"/>
  <c r="K52" i="21"/>
  <c r="L52" i="21"/>
  <c r="M52" i="21"/>
  <c r="N52" i="21"/>
  <c r="O52" i="21"/>
  <c r="F47" i="21"/>
  <c r="F12" i="21"/>
  <c r="N54" i="21"/>
  <c r="N55" i="21"/>
  <c r="N56" i="21"/>
  <c r="N57" i="21"/>
  <c r="N58" i="21"/>
  <c r="N59" i="21"/>
  <c r="N62" i="21"/>
  <c r="N63" i="21"/>
  <c r="N64" i="21"/>
  <c r="N65" i="21"/>
  <c r="N69" i="21"/>
  <c r="N70" i="21"/>
  <c r="M54" i="21"/>
  <c r="M55" i="21"/>
  <c r="M56" i="21"/>
  <c r="M57" i="21"/>
  <c r="M58" i="21"/>
  <c r="M59" i="21"/>
  <c r="M62" i="21"/>
  <c r="M63" i="21"/>
  <c r="M64" i="21"/>
  <c r="M65" i="21"/>
  <c r="M69" i="21"/>
  <c r="M70" i="21"/>
  <c r="M53" i="21"/>
  <c r="N53" i="21"/>
  <c r="N49" i="21"/>
  <c r="N50" i="21"/>
  <c r="N51" i="21"/>
  <c r="M49" i="21"/>
  <c r="M50" i="21"/>
  <c r="M51" i="21"/>
  <c r="M48" i="21"/>
  <c r="N48" i="21"/>
  <c r="M47" i="21"/>
  <c r="N47" i="21"/>
  <c r="E39" i="21"/>
  <c r="E40" i="21"/>
  <c r="E41" i="21"/>
  <c r="K26" i="19"/>
  <c r="M61" i="21" s="1"/>
  <c r="L26" i="19"/>
  <c r="N61" i="21" s="1"/>
  <c r="K25" i="19"/>
  <c r="M60" i="21" s="1"/>
  <c r="L25" i="19"/>
  <c r="N60" i="21" s="1"/>
  <c r="K24" i="19"/>
  <c r="M68" i="21" s="1"/>
  <c r="L24" i="19"/>
  <c r="N68" i="21" s="1"/>
  <c r="K23" i="19"/>
  <c r="M67" i="21" s="1"/>
  <c r="L23" i="19"/>
  <c r="N67" i="21" s="1"/>
  <c r="K22" i="19"/>
  <c r="M66" i="21" s="1"/>
  <c r="L22" i="19"/>
  <c r="N66" i="21" s="1"/>
  <c r="N9" i="21"/>
  <c r="N13" i="21"/>
  <c r="N16" i="21"/>
  <c r="N17" i="21"/>
  <c r="N24" i="21"/>
  <c r="N26" i="21"/>
  <c r="N28" i="21"/>
  <c r="N30" i="21"/>
  <c r="N37" i="21"/>
  <c r="M6" i="21"/>
  <c r="M8" i="21"/>
  <c r="M10" i="21"/>
  <c r="M11" i="21"/>
  <c r="M12" i="21"/>
  <c r="M14" i="21"/>
  <c r="M15" i="21"/>
  <c r="M18" i="21"/>
  <c r="M19" i="21"/>
  <c r="M21" i="21"/>
  <c r="M22" i="21"/>
  <c r="M23" i="21"/>
  <c r="M25" i="21"/>
  <c r="M27" i="21"/>
  <c r="M28" i="21"/>
  <c r="M30" i="21"/>
  <c r="M35" i="21"/>
  <c r="M36" i="21"/>
  <c r="I47" i="21"/>
  <c r="H48" i="21"/>
  <c r="H49" i="21"/>
  <c r="I49" i="21"/>
  <c r="I50" i="21"/>
  <c r="H51" i="21"/>
  <c r="I51" i="21"/>
  <c r="D22" i="19"/>
  <c r="F66" i="21" s="1"/>
  <c r="E22" i="19"/>
  <c r="F22" i="19"/>
  <c r="G22" i="19"/>
  <c r="H22" i="19"/>
  <c r="I22" i="19"/>
  <c r="J22" i="19"/>
  <c r="M22" i="19"/>
  <c r="D23" i="19"/>
  <c r="F67" i="21" s="1"/>
  <c r="E23" i="19"/>
  <c r="F23" i="19"/>
  <c r="G23" i="19"/>
  <c r="H23" i="19"/>
  <c r="I23" i="19"/>
  <c r="M23" i="19"/>
  <c r="D24" i="19"/>
  <c r="F68" i="21" s="1"/>
  <c r="E24" i="19"/>
  <c r="F24" i="19"/>
  <c r="G24" i="19"/>
  <c r="H24" i="19"/>
  <c r="I24" i="19"/>
  <c r="J24" i="19"/>
  <c r="M24" i="19"/>
  <c r="D25" i="19"/>
  <c r="F60" i="21" s="1"/>
  <c r="E25" i="19"/>
  <c r="F25" i="19"/>
  <c r="G25" i="19"/>
  <c r="H25" i="19"/>
  <c r="I25" i="19"/>
  <c r="J25" i="19"/>
  <c r="M25" i="19"/>
  <c r="D26" i="19"/>
  <c r="F61" i="21" s="1"/>
  <c r="E26" i="19"/>
  <c r="F26" i="19"/>
  <c r="G26" i="19"/>
  <c r="H26" i="19"/>
  <c r="I26" i="19"/>
  <c r="J26" i="19"/>
  <c r="M26" i="19"/>
  <c r="L47" i="21"/>
  <c r="O47" i="21"/>
  <c r="I48" i="21"/>
  <c r="O48" i="21"/>
  <c r="L49" i="21"/>
  <c r="O49" i="21"/>
  <c r="L50" i="21"/>
  <c r="L51" i="21"/>
  <c r="O51" i="21"/>
  <c r="T18" i="19"/>
  <c r="M71" i="20"/>
  <c r="M72" i="20"/>
  <c r="M73" i="20"/>
  <c r="M74" i="20"/>
  <c r="L72" i="20"/>
  <c r="L73" i="20"/>
  <c r="L74" i="20"/>
  <c r="L71" i="20"/>
  <c r="D71" i="20"/>
  <c r="D72" i="20"/>
  <c r="D73" i="20"/>
  <c r="D74" i="20"/>
  <c r="M42" i="20"/>
  <c r="M43" i="20"/>
  <c r="M44" i="20"/>
  <c r="M45" i="20"/>
  <c r="M46" i="20"/>
  <c r="L43" i="20"/>
  <c r="L44" i="20"/>
  <c r="L45" i="20"/>
  <c r="L46" i="20"/>
  <c r="L42" i="20"/>
  <c r="D42" i="20"/>
  <c r="D43" i="20"/>
  <c r="D44" i="20"/>
  <c r="N39" i="20"/>
  <c r="M4" i="20"/>
  <c r="L4" i="20"/>
  <c r="M3" i="20"/>
  <c r="L3" i="20"/>
  <c r="W8" i="18"/>
  <c r="AA8" i="18"/>
  <c r="AC8" i="18"/>
  <c r="L52" i="20" s="1"/>
  <c r="AE8" i="18"/>
  <c r="W11" i="18"/>
  <c r="Y11" i="18"/>
  <c r="AC11" i="18"/>
  <c r="L55" i="20" s="1"/>
  <c r="AE11" i="18"/>
  <c r="W16" i="18"/>
  <c r="AA16" i="18"/>
  <c r="AC16" i="18"/>
  <c r="L69" i="20" s="1"/>
  <c r="AE16" i="18"/>
  <c r="W19" i="18"/>
  <c r="Y19" i="18"/>
  <c r="AC19" i="18"/>
  <c r="L63" i="20" s="1"/>
  <c r="AE19" i="18"/>
  <c r="W24" i="18"/>
  <c r="AA24" i="18"/>
  <c r="AC24" i="18"/>
  <c r="L68" i="20" s="1"/>
  <c r="AE24" i="18"/>
  <c r="Y26" i="18"/>
  <c r="AA26" i="18"/>
  <c r="X3" i="18"/>
  <c r="Z3" i="18"/>
  <c r="AE3" i="18"/>
  <c r="O3" i="18"/>
  <c r="O4" i="18"/>
  <c r="AC4" i="18" s="1"/>
  <c r="L48" i="20" s="1"/>
  <c r="O5" i="18"/>
  <c r="O6" i="18"/>
  <c r="Y6" i="18" s="1"/>
  <c r="O7" i="18"/>
  <c r="O8" i="18"/>
  <c r="O9" i="18"/>
  <c r="O10" i="18"/>
  <c r="W10" i="18" s="1"/>
  <c r="O11" i="18"/>
  <c r="O12" i="18"/>
  <c r="AA12" i="18" s="1"/>
  <c r="O13" i="18"/>
  <c r="O14" i="18"/>
  <c r="W14" i="18" s="1"/>
  <c r="O15" i="18"/>
  <c r="O16" i="18"/>
  <c r="O17" i="18"/>
  <c r="O18" i="18"/>
  <c r="W18" i="18" s="1"/>
  <c r="O19" i="18"/>
  <c r="O20" i="18"/>
  <c r="AC20" i="18" s="1"/>
  <c r="L64" i="20" s="1"/>
  <c r="O21" i="18"/>
  <c r="O22" i="18"/>
  <c r="AE22" i="18" s="1"/>
  <c r="O23" i="18"/>
  <c r="O24" i="18"/>
  <c r="O25" i="18"/>
  <c r="O26" i="18"/>
  <c r="W26" i="18" s="1"/>
  <c r="T3" i="11"/>
  <c r="W3" i="11"/>
  <c r="X3" i="11"/>
  <c r="Y3" i="11"/>
  <c r="Z3" i="11"/>
  <c r="T4" i="11"/>
  <c r="X4" i="11"/>
  <c r="Z4" i="11"/>
  <c r="U6" i="11"/>
  <c r="Z6" i="11"/>
  <c r="T7" i="11"/>
  <c r="U7" i="11"/>
  <c r="V7" i="11"/>
  <c r="W7" i="11"/>
  <c r="Z7" i="11"/>
  <c r="T8" i="11"/>
  <c r="U8" i="11"/>
  <c r="W8" i="11"/>
  <c r="V9" i="11"/>
  <c r="W9" i="11"/>
  <c r="X9" i="11"/>
  <c r="U10" i="11"/>
  <c r="V10" i="11"/>
  <c r="W10" i="11"/>
  <c r="X10" i="11"/>
  <c r="Y10" i="11"/>
  <c r="Z10" i="11"/>
  <c r="V11" i="11"/>
  <c r="W11" i="11"/>
  <c r="X11" i="11"/>
  <c r="Z11" i="11"/>
  <c r="W12" i="11"/>
  <c r="X12" i="11"/>
  <c r="Y12" i="11"/>
  <c r="Z12" i="11"/>
  <c r="T13" i="11"/>
  <c r="X13" i="11"/>
  <c r="Z13" i="11"/>
  <c r="U14" i="11"/>
  <c r="Y14" i="11"/>
  <c r="T15" i="11"/>
  <c r="U15" i="11"/>
  <c r="V15" i="11"/>
  <c r="W15" i="11"/>
  <c r="Z15" i="11"/>
  <c r="T16" i="11"/>
  <c r="U16" i="11"/>
  <c r="V16" i="11"/>
  <c r="W16" i="11"/>
  <c r="X16" i="11"/>
  <c r="T17" i="11"/>
  <c r="U17" i="11"/>
  <c r="V17" i="11"/>
  <c r="X17" i="11"/>
  <c r="T32" i="11"/>
  <c r="U32" i="11"/>
  <c r="V32" i="11"/>
  <c r="W32" i="11"/>
  <c r="X32" i="11"/>
  <c r="U33" i="11"/>
  <c r="V33" i="11"/>
  <c r="X33" i="11"/>
  <c r="Y33" i="11"/>
  <c r="U34" i="11"/>
  <c r="V34" i="11"/>
  <c r="W34" i="11"/>
  <c r="Y34" i="11"/>
  <c r="W35" i="11"/>
  <c r="X35" i="11"/>
  <c r="Z35" i="11"/>
  <c r="AC3" i="11"/>
  <c r="AC4" i="11"/>
  <c r="AC6" i="11"/>
  <c r="AC7" i="11"/>
  <c r="AC8" i="11"/>
  <c r="AC9" i="11"/>
  <c r="AC10" i="11"/>
  <c r="AC11" i="11"/>
  <c r="AC12" i="11"/>
  <c r="AC13" i="11"/>
  <c r="Z14" i="11"/>
  <c r="AC14" i="11"/>
  <c r="AC15" i="11"/>
  <c r="Z16" i="11"/>
  <c r="AC16" i="11"/>
  <c r="AC17" i="11"/>
  <c r="AC32" i="11"/>
  <c r="Z33" i="11"/>
  <c r="AC33" i="11"/>
  <c r="AC34" i="11"/>
  <c r="AC35" i="11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E52" i="21"/>
  <c r="R16" i="17"/>
  <c r="F18" i="21" s="1"/>
  <c r="AC3" i="17"/>
  <c r="AC4" i="17"/>
  <c r="AC5" i="17"/>
  <c r="AC6" i="17"/>
  <c r="AC7" i="17"/>
  <c r="AC8" i="17"/>
  <c r="AC9" i="17"/>
  <c r="AC10" i="17"/>
  <c r="AC11" i="17"/>
  <c r="AC12" i="17"/>
  <c r="AC13" i="17"/>
  <c r="AC14" i="17"/>
  <c r="AC15" i="17"/>
  <c r="AC16" i="17"/>
  <c r="AC17" i="17"/>
  <c r="AC18" i="17"/>
  <c r="AC19" i="17"/>
  <c r="AC20" i="17"/>
  <c r="AC21" i="17"/>
  <c r="AC22" i="17"/>
  <c r="AC23" i="17"/>
  <c r="AC24" i="17"/>
  <c r="AC25" i="17"/>
  <c r="AC26" i="17"/>
  <c r="AC27" i="17"/>
  <c r="AC28" i="17"/>
  <c r="AC29" i="17"/>
  <c r="AC30" i="17"/>
  <c r="AC31" i="17"/>
  <c r="AC32" i="17"/>
  <c r="AC33" i="17"/>
  <c r="AC34" i="17"/>
  <c r="AC35" i="17"/>
  <c r="R11" i="17"/>
  <c r="F13" i="21" s="1"/>
  <c r="R7" i="17"/>
  <c r="F9" i="21" s="1"/>
  <c r="R3" i="17"/>
  <c r="R18" i="11"/>
  <c r="AB18" i="11" s="1"/>
  <c r="G51" i="21"/>
  <c r="O50" i="21"/>
  <c r="G50" i="21"/>
  <c r="G49" i="21"/>
  <c r="L48" i="21"/>
  <c r="E48" i="21"/>
  <c r="R26" i="18"/>
  <c r="V26" i="18" s="1"/>
  <c r="R25" i="18"/>
  <c r="X25" i="18" s="1"/>
  <c r="R24" i="18"/>
  <c r="Z24" i="18" s="1"/>
  <c r="R23" i="18"/>
  <c r="AB23" i="18" s="1"/>
  <c r="R22" i="18"/>
  <c r="V22" i="18" s="1"/>
  <c r="R21" i="18"/>
  <c r="X21" i="18" s="1"/>
  <c r="R20" i="18"/>
  <c r="Z20" i="18" s="1"/>
  <c r="R19" i="18"/>
  <c r="AB19" i="18" s="1"/>
  <c r="R18" i="18"/>
  <c r="V18" i="18" s="1"/>
  <c r="R17" i="18"/>
  <c r="X17" i="18" s="1"/>
  <c r="R16" i="18"/>
  <c r="Z16" i="18" s="1"/>
  <c r="R15" i="18"/>
  <c r="AB15" i="18" s="1"/>
  <c r="R14" i="18"/>
  <c r="V14" i="18" s="1"/>
  <c r="R13" i="18"/>
  <c r="X13" i="18" s="1"/>
  <c r="R12" i="18"/>
  <c r="Z12" i="18" s="1"/>
  <c r="R11" i="18"/>
  <c r="AB11" i="18" s="1"/>
  <c r="R10" i="18"/>
  <c r="V10" i="18" s="1"/>
  <c r="R9" i="18"/>
  <c r="X9" i="18" s="1"/>
  <c r="R8" i="18"/>
  <c r="Z8" i="18" s="1"/>
  <c r="R7" i="18"/>
  <c r="AB7" i="18" s="1"/>
  <c r="R6" i="18"/>
  <c r="V6" i="18" s="1"/>
  <c r="R5" i="18"/>
  <c r="X5" i="18" s="1"/>
  <c r="R4" i="18"/>
  <c r="Z4" i="18" s="1"/>
  <c r="R3" i="18"/>
  <c r="AC3" i="18" s="1"/>
  <c r="L47" i="20" s="1"/>
  <c r="AA31" i="17"/>
  <c r="X31" i="17"/>
  <c r="V31" i="17"/>
  <c r="U31" i="17"/>
  <c r="T31" i="17"/>
  <c r="S31" i="17"/>
  <c r="R31" i="17"/>
  <c r="F22" i="21" s="1"/>
  <c r="AA30" i="17"/>
  <c r="X30" i="17"/>
  <c r="U30" i="17"/>
  <c r="S30" i="17"/>
  <c r="R30" i="17"/>
  <c r="F21" i="21" s="1"/>
  <c r="X29" i="17"/>
  <c r="V29" i="17"/>
  <c r="U29" i="17"/>
  <c r="T29" i="17"/>
  <c r="S29" i="17"/>
  <c r="R29" i="11"/>
  <c r="R31" i="11" s="1"/>
  <c r="Q31" i="11"/>
  <c r="Q30" i="11"/>
  <c r="Q29" i="11"/>
  <c r="AA35" i="17"/>
  <c r="W35" i="17"/>
  <c r="V35" i="17"/>
  <c r="U35" i="17"/>
  <c r="T35" i="17"/>
  <c r="S35" i="17"/>
  <c r="R35" i="17"/>
  <c r="F28" i="21" s="1"/>
  <c r="W34" i="17"/>
  <c r="V34" i="17"/>
  <c r="U34" i="17"/>
  <c r="T34" i="17"/>
  <c r="S34" i="17"/>
  <c r="R34" i="17"/>
  <c r="F27" i="21" s="1"/>
  <c r="AA33" i="17"/>
  <c r="W33" i="17"/>
  <c r="U33" i="17"/>
  <c r="T33" i="17"/>
  <c r="S33" i="17"/>
  <c r="R33" i="17"/>
  <c r="X32" i="17"/>
  <c r="W32" i="17"/>
  <c r="V32" i="17"/>
  <c r="U32" i="17"/>
  <c r="T32" i="17"/>
  <c r="S32" i="17"/>
  <c r="R32" i="17"/>
  <c r="AA26" i="17"/>
  <c r="X26" i="17"/>
  <c r="V26" i="17"/>
  <c r="U26" i="17"/>
  <c r="T26" i="17"/>
  <c r="S26" i="17"/>
  <c r="R26" i="17"/>
  <c r="X25" i="17"/>
  <c r="V25" i="17"/>
  <c r="T25" i="17"/>
  <c r="S25" i="17"/>
  <c r="R25" i="17"/>
  <c r="AA24" i="17"/>
  <c r="X24" i="17"/>
  <c r="V24" i="17"/>
  <c r="U24" i="17"/>
  <c r="T24" i="17"/>
  <c r="S24" i="17"/>
  <c r="R24" i="17"/>
  <c r="X23" i="17"/>
  <c r="V23" i="17"/>
  <c r="U23" i="17"/>
  <c r="T23" i="17"/>
  <c r="S23" i="17"/>
  <c r="R23" i="17"/>
  <c r="AA21" i="17"/>
  <c r="X21" i="17"/>
  <c r="V21" i="17"/>
  <c r="U21" i="17"/>
  <c r="T21" i="17"/>
  <c r="S21" i="17"/>
  <c r="R21" i="17"/>
  <c r="F31" i="21" s="1"/>
  <c r="AA20" i="17"/>
  <c r="X20" i="17"/>
  <c r="V20" i="17"/>
  <c r="U20" i="17"/>
  <c r="T20" i="17"/>
  <c r="S20" i="17"/>
  <c r="P22" i="17"/>
  <c r="Y22" i="17" s="1"/>
  <c r="M29" i="21" s="1"/>
  <c r="T18" i="17"/>
  <c r="X17" i="17"/>
  <c r="W17" i="17"/>
  <c r="V17" i="17"/>
  <c r="T17" i="17"/>
  <c r="S17" i="17"/>
  <c r="R17" i="17"/>
  <c r="F19" i="21" s="1"/>
  <c r="AA16" i="17"/>
  <c r="W16" i="17"/>
  <c r="V16" i="17"/>
  <c r="U16" i="17"/>
  <c r="T16" i="17"/>
  <c r="S16" i="17"/>
  <c r="AA15" i="17"/>
  <c r="X15" i="17"/>
  <c r="V15" i="17"/>
  <c r="T15" i="17"/>
  <c r="S15" i="17"/>
  <c r="R15" i="17"/>
  <c r="F16" i="21" s="1"/>
  <c r="AA14" i="17"/>
  <c r="X14" i="17"/>
  <c r="V14" i="17"/>
  <c r="U14" i="17"/>
  <c r="T14" i="17"/>
  <c r="S14" i="17"/>
  <c r="R14" i="17"/>
  <c r="F15" i="21" s="1"/>
  <c r="AA13" i="17"/>
  <c r="X13" i="17"/>
  <c r="W13" i="17"/>
  <c r="V13" i="17"/>
  <c r="U13" i="17"/>
  <c r="T13" i="17"/>
  <c r="S13" i="17"/>
  <c r="R13" i="17"/>
  <c r="F17" i="21" s="1"/>
  <c r="AA12" i="17"/>
  <c r="W12" i="17"/>
  <c r="V12" i="17"/>
  <c r="AA11" i="17"/>
  <c r="X11" i="17"/>
  <c r="V11" i="17"/>
  <c r="U11" i="17"/>
  <c r="T11" i="17"/>
  <c r="S11" i="17"/>
  <c r="AA10" i="17"/>
  <c r="X10" i="17"/>
  <c r="W10" i="17"/>
  <c r="U10" i="17"/>
  <c r="S10" i="17"/>
  <c r="R10" i="17"/>
  <c r="AA9" i="17"/>
  <c r="X9" i="17"/>
  <c r="V9" i="17"/>
  <c r="U9" i="17"/>
  <c r="S9" i="17"/>
  <c r="R9" i="17"/>
  <c r="F11" i="21" s="1"/>
  <c r="AA8" i="17"/>
  <c r="X8" i="17"/>
  <c r="W8" i="17"/>
  <c r="V8" i="17"/>
  <c r="U8" i="17"/>
  <c r="S8" i="17"/>
  <c r="R8" i="17"/>
  <c r="F10" i="21" s="1"/>
  <c r="AA7" i="17"/>
  <c r="X7" i="17"/>
  <c r="L9" i="21" s="1"/>
  <c r="W7" i="17"/>
  <c r="V7" i="17"/>
  <c r="U7" i="17"/>
  <c r="S7" i="17"/>
  <c r="AA6" i="17"/>
  <c r="X6" i="17"/>
  <c r="W6" i="17"/>
  <c r="V6" i="17"/>
  <c r="T6" i="17"/>
  <c r="S6" i="17"/>
  <c r="R6" i="17"/>
  <c r="F8" i="21" s="1"/>
  <c r="E8" i="21" s="1"/>
  <c r="AA5" i="17"/>
  <c r="X5" i="17"/>
  <c r="W5" i="17"/>
  <c r="V5" i="17"/>
  <c r="U5" i="17"/>
  <c r="R5" i="17"/>
  <c r="F7" i="21" s="1"/>
  <c r="AA4" i="17"/>
  <c r="O6" i="21" s="1"/>
  <c r="X4" i="17"/>
  <c r="W4" i="17"/>
  <c r="V4" i="17"/>
  <c r="J6" i="21" s="1"/>
  <c r="U4" i="17"/>
  <c r="I6" i="21" s="1"/>
  <c r="R4" i="17"/>
  <c r="F6" i="21" s="1"/>
  <c r="X3" i="17"/>
  <c r="L5" i="21" s="1"/>
  <c r="W3" i="17"/>
  <c r="K5" i="21" s="1"/>
  <c r="V3" i="17"/>
  <c r="U3" i="17"/>
  <c r="I5" i="21" s="1"/>
  <c r="T3" i="17"/>
  <c r="Y35" i="11"/>
  <c r="Y32" i="11"/>
  <c r="W17" i="11"/>
  <c r="Y16" i="11"/>
  <c r="Y15" i="11"/>
  <c r="W14" i="11"/>
  <c r="W13" i="11"/>
  <c r="Y11" i="11"/>
  <c r="Y8" i="11"/>
  <c r="Y6" i="11"/>
  <c r="W6" i="11"/>
  <c r="Y4" i="11"/>
  <c r="W4" i="11"/>
  <c r="U19" i="19"/>
  <c r="T19" i="19"/>
  <c r="Q31" i="19"/>
  <c r="P31" i="19"/>
  <c r="P30" i="19"/>
  <c r="P29" i="19"/>
  <c r="R29" i="19" s="1"/>
  <c r="T17" i="18"/>
  <c r="AF3" i="18"/>
  <c r="AF4" i="18"/>
  <c r="AF5" i="18"/>
  <c r="AF6" i="18"/>
  <c r="AF7" i="18"/>
  <c r="AF8" i="18"/>
  <c r="AF9" i="18"/>
  <c r="AF10" i="18"/>
  <c r="AF11" i="18"/>
  <c r="AF12" i="18"/>
  <c r="AF13" i="18"/>
  <c r="AF14" i="18"/>
  <c r="AF15" i="18"/>
  <c r="AF16" i="18"/>
  <c r="AF17" i="18"/>
  <c r="AF18" i="18"/>
  <c r="AF19" i="18"/>
  <c r="AF20" i="18"/>
  <c r="AF21" i="18"/>
  <c r="AF22" i="18"/>
  <c r="AF23" i="18"/>
  <c r="AF24" i="18"/>
  <c r="AF25" i="18"/>
  <c r="AF26" i="18"/>
  <c r="T16" i="18"/>
  <c r="T24" i="18"/>
  <c r="T23" i="18"/>
  <c r="T22" i="18"/>
  <c r="T21" i="18"/>
  <c r="T20" i="18"/>
  <c r="T19" i="18"/>
  <c r="T18" i="18"/>
  <c r="T26" i="18"/>
  <c r="T25" i="18"/>
  <c r="T15" i="18"/>
  <c r="T13" i="18"/>
  <c r="T14" i="18"/>
  <c r="T12" i="18"/>
  <c r="T11" i="18"/>
  <c r="T10" i="18"/>
  <c r="T9" i="18"/>
  <c r="T8" i="18"/>
  <c r="T7" i="18"/>
  <c r="T6" i="18"/>
  <c r="T5" i="18"/>
  <c r="T4" i="18"/>
  <c r="T3" i="18"/>
  <c r="I41" i="20"/>
  <c r="I40" i="20"/>
  <c r="I39" i="20"/>
  <c r="AE3" i="11"/>
  <c r="L5" i="20" s="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X34" i="11"/>
  <c r="X15" i="11"/>
  <c r="X14" i="11"/>
  <c r="X8" i="11"/>
  <c r="X7" i="11"/>
  <c r="X6" i="11"/>
  <c r="X5" i="11"/>
  <c r="H41" i="20"/>
  <c r="H40" i="20"/>
  <c r="H39" i="20"/>
  <c r="W33" i="11"/>
  <c r="W5" i="11"/>
  <c r="J51" i="21"/>
  <c r="J50" i="21"/>
  <c r="J49" i="21"/>
  <c r="J48" i="21"/>
  <c r="J47" i="21"/>
  <c r="V33" i="17"/>
  <c r="V18" i="17"/>
  <c r="V30" i="17"/>
  <c r="V10" i="17"/>
  <c r="U25" i="17"/>
  <c r="U17" i="17"/>
  <c r="U15" i="17"/>
  <c r="U12" i="17"/>
  <c r="U6" i="17"/>
  <c r="W29" i="17"/>
  <c r="E75" i="21"/>
  <c r="X33" i="17"/>
  <c r="AA32" i="17"/>
  <c r="AA23" i="17"/>
  <c r="W23" i="17"/>
  <c r="W26" i="17"/>
  <c r="AA25" i="17"/>
  <c r="W25" i="17"/>
  <c r="W21" i="17"/>
  <c r="W20" i="17"/>
  <c r="X35" i="17"/>
  <c r="AA34" i="17"/>
  <c r="X34" i="17"/>
  <c r="AA18" i="17"/>
  <c r="W31" i="17"/>
  <c r="W30" i="17"/>
  <c r="T30" i="17"/>
  <c r="AA17" i="17"/>
  <c r="X16" i="17"/>
  <c r="W15" i="17"/>
  <c r="W14" i="17"/>
  <c r="X12" i="17"/>
  <c r="T12" i="17"/>
  <c r="S12" i="17"/>
  <c r="R12" i="17"/>
  <c r="F14" i="21" s="1"/>
  <c r="W11" i="17"/>
  <c r="T10" i="17"/>
  <c r="W9" i="17"/>
  <c r="T9" i="17"/>
  <c r="T8" i="17"/>
  <c r="T7" i="17"/>
  <c r="H9" i="21" s="1"/>
  <c r="T5" i="17"/>
  <c r="S5" i="17"/>
  <c r="T4" i="17"/>
  <c r="S4" i="17"/>
  <c r="AA3" i="17"/>
  <c r="S3" i="17"/>
  <c r="G5" i="21" s="1"/>
  <c r="O69" i="21"/>
  <c r="G58" i="21"/>
  <c r="K51" i="21"/>
  <c r="E51" i="21"/>
  <c r="K50" i="21"/>
  <c r="H50" i="21"/>
  <c r="K49" i="21"/>
  <c r="K48" i="21"/>
  <c r="G48" i="21"/>
  <c r="K47" i="21"/>
  <c r="H47" i="21"/>
  <c r="G47" i="21"/>
  <c r="E74" i="21"/>
  <c r="E73" i="21"/>
  <c r="E72" i="21"/>
  <c r="E71" i="21"/>
  <c r="E46" i="21"/>
  <c r="E45" i="21"/>
  <c r="E44" i="21"/>
  <c r="E43" i="21"/>
  <c r="E42" i="21"/>
  <c r="T33" i="11"/>
  <c r="Z32" i="11"/>
  <c r="V35" i="11"/>
  <c r="U35" i="11"/>
  <c r="T35" i="11"/>
  <c r="Z34" i="11"/>
  <c r="T34" i="11"/>
  <c r="Z17" i="11"/>
  <c r="Y17" i="11"/>
  <c r="Y13" i="11"/>
  <c r="V13" i="11"/>
  <c r="U13" i="11"/>
  <c r="V14" i="11"/>
  <c r="T14" i="11"/>
  <c r="V12" i="11"/>
  <c r="U12" i="11"/>
  <c r="T12" i="11"/>
  <c r="U11" i="11"/>
  <c r="T11" i="11"/>
  <c r="T10" i="11"/>
  <c r="Z9" i="11"/>
  <c r="Y9" i="11"/>
  <c r="U9" i="11"/>
  <c r="T9" i="11"/>
  <c r="Z8" i="11"/>
  <c r="V8" i="11"/>
  <c r="Y7" i="11"/>
  <c r="V6" i="11"/>
  <c r="T6" i="11"/>
  <c r="AC5" i="11"/>
  <c r="Z5" i="11"/>
  <c r="Y5" i="11"/>
  <c r="V5" i="11"/>
  <c r="U5" i="11"/>
  <c r="T5" i="11"/>
  <c r="V4" i="11"/>
  <c r="U4" i="11"/>
  <c r="V3" i="11"/>
  <c r="U3" i="11"/>
  <c r="F5" i="20" s="1"/>
  <c r="E4" i="21"/>
  <c r="E3" i="21"/>
  <c r="D46" i="20"/>
  <c r="D45" i="20"/>
  <c r="E41" i="20"/>
  <c r="D41" i="20" s="1"/>
  <c r="E40" i="20"/>
  <c r="D40" i="20" s="1"/>
  <c r="E39" i="20"/>
  <c r="D39" i="20" s="1"/>
  <c r="D4" i="20"/>
  <c r="D3" i="20"/>
  <c r="N41" i="20"/>
  <c r="K41" i="20"/>
  <c r="J41" i="20"/>
  <c r="G41" i="20"/>
  <c r="F41" i="20"/>
  <c r="N40" i="20"/>
  <c r="K40" i="20"/>
  <c r="J40" i="20"/>
  <c r="G40" i="20"/>
  <c r="F40" i="20"/>
  <c r="K39" i="20"/>
  <c r="J39" i="20"/>
  <c r="G39" i="20"/>
  <c r="F39" i="20"/>
  <c r="W24" i="17"/>
  <c r="Y22" i="23" l="1"/>
  <c r="I6" i="23"/>
  <c r="Y6" i="23" s="1"/>
  <c r="H6" i="23"/>
  <c r="X6" i="23" s="1"/>
  <c r="G6" i="23"/>
  <c r="W6" i="23" s="1"/>
  <c r="D6" i="23"/>
  <c r="T6" i="23" s="1"/>
  <c r="F6" i="23"/>
  <c r="V6" i="23" s="1"/>
  <c r="M6" i="23"/>
  <c r="AC6" i="23" s="1"/>
  <c r="Z18" i="23"/>
  <c r="Z20" i="23"/>
  <c r="Z22" i="23"/>
  <c r="Z24" i="23"/>
  <c r="Z26" i="23"/>
  <c r="Z28" i="23"/>
  <c r="AA31" i="23"/>
  <c r="AA18" i="23"/>
  <c r="AA20" i="23"/>
  <c r="AA22" i="23"/>
  <c r="AA24" i="23"/>
  <c r="AA26" i="23"/>
  <c r="AA28" i="23"/>
  <c r="T18" i="23"/>
  <c r="AB18" i="23"/>
  <c r="T20" i="23"/>
  <c r="AB20" i="23"/>
  <c r="T22" i="23"/>
  <c r="AB22" i="23"/>
  <c r="X23" i="23"/>
  <c r="T24" i="23"/>
  <c r="AB24" i="23"/>
  <c r="T26" i="23"/>
  <c r="AB26" i="23"/>
  <c r="X27" i="23"/>
  <c r="T28" i="23"/>
  <c r="AB28" i="23"/>
  <c r="W29" i="23"/>
  <c r="Z30" i="23"/>
  <c r="U31" i="23"/>
  <c r="AC31" i="23"/>
  <c r="U18" i="23"/>
  <c r="AC18" i="23"/>
  <c r="U20" i="23"/>
  <c r="AC20" i="23"/>
  <c r="U22" i="23"/>
  <c r="AC22" i="23"/>
  <c r="U24" i="23"/>
  <c r="AC24" i="23"/>
  <c r="U26" i="23"/>
  <c r="AC26" i="23"/>
  <c r="U28" i="23"/>
  <c r="AC28" i="23"/>
  <c r="AA30" i="23"/>
  <c r="V31" i="23"/>
  <c r="V18" i="23"/>
  <c r="V20" i="23"/>
  <c r="V22" i="23"/>
  <c r="Z23" i="23"/>
  <c r="V24" i="23"/>
  <c r="V26" i="23"/>
  <c r="Z27" i="23"/>
  <c r="V28" i="23"/>
  <c r="Y29" i="23"/>
  <c r="T30" i="23"/>
  <c r="AB30" i="23"/>
  <c r="W31" i="23"/>
  <c r="W18" i="23"/>
  <c r="R19" i="23"/>
  <c r="W20" i="23"/>
  <c r="R21" i="23"/>
  <c r="W22" i="23"/>
  <c r="AA23" i="23"/>
  <c r="W24" i="23"/>
  <c r="R25" i="23"/>
  <c r="W26" i="23"/>
  <c r="AA27" i="23"/>
  <c r="W28" i="23"/>
  <c r="Z29" i="23"/>
  <c r="U30" i="23"/>
  <c r="X18" i="23"/>
  <c r="X20" i="23"/>
  <c r="X22" i="23"/>
  <c r="T23" i="23"/>
  <c r="AB23" i="23"/>
  <c r="X24" i="23"/>
  <c r="X26" i="23"/>
  <c r="T27" i="23"/>
  <c r="AB27" i="23"/>
  <c r="X28" i="23"/>
  <c r="AA29" i="23"/>
  <c r="V30" i="23"/>
  <c r="Y31" i="23"/>
  <c r="U23" i="23"/>
  <c r="U27" i="23"/>
  <c r="T29" i="23"/>
  <c r="M27" i="20"/>
  <c r="AA18" i="11"/>
  <c r="AA29" i="11"/>
  <c r="M16" i="20"/>
  <c r="L38" i="20"/>
  <c r="M5" i="20"/>
  <c r="L12" i="20"/>
  <c r="M15" i="20"/>
  <c r="M28" i="20"/>
  <c r="M13" i="20"/>
  <c r="L28" i="20"/>
  <c r="M17" i="20"/>
  <c r="M11" i="20"/>
  <c r="M7" i="20"/>
  <c r="L11" i="20"/>
  <c r="M19" i="20"/>
  <c r="L19" i="20"/>
  <c r="L10" i="20"/>
  <c r="M12" i="20"/>
  <c r="G14" i="20"/>
  <c r="L18" i="20"/>
  <c r="L9" i="20"/>
  <c r="M9" i="20"/>
  <c r="L27" i="20"/>
  <c r="M18" i="20"/>
  <c r="M14" i="20"/>
  <c r="M10" i="20"/>
  <c r="M6" i="20"/>
  <c r="L17" i="20"/>
  <c r="L8" i="20"/>
  <c r="M8" i="20"/>
  <c r="M38" i="20"/>
  <c r="L14" i="20"/>
  <c r="L6" i="20"/>
  <c r="L16" i="20"/>
  <c r="L7" i="20"/>
  <c r="L37" i="20"/>
  <c r="M37" i="20"/>
  <c r="L15" i="20"/>
  <c r="E7" i="20"/>
  <c r="D7" i="20" s="1"/>
  <c r="L13" i="20"/>
  <c r="E47" i="21"/>
  <c r="AA31" i="11"/>
  <c r="Z22" i="17"/>
  <c r="N29" i="21" s="1"/>
  <c r="AE26" i="18"/>
  <c r="Y25" i="18"/>
  <c r="W22" i="18"/>
  <c r="W6" i="18"/>
  <c r="F50" i="20" s="1"/>
  <c r="AB3" i="18"/>
  <c r="AC26" i="18"/>
  <c r="L61" i="20" s="1"/>
  <c r="AE25" i="18"/>
  <c r="W25" i="18"/>
  <c r="Y24" i="18"/>
  <c r="AA23" i="18"/>
  <c r="AC22" i="18"/>
  <c r="L66" i="20" s="1"/>
  <c r="AE21" i="18"/>
  <c r="N65" i="20" s="1"/>
  <c r="W21" i="18"/>
  <c r="Y20" i="18"/>
  <c r="AA19" i="18"/>
  <c r="AC18" i="18"/>
  <c r="L62" i="20" s="1"/>
  <c r="AE17" i="18"/>
  <c r="W17" i="18"/>
  <c r="Y16" i="18"/>
  <c r="H69" i="20" s="1"/>
  <c r="AA15" i="18"/>
  <c r="J59" i="20" s="1"/>
  <c r="AC14" i="18"/>
  <c r="L57" i="20" s="1"/>
  <c r="AE13" i="18"/>
  <c r="N58" i="20" s="1"/>
  <c r="W13" i="18"/>
  <c r="Y12" i="18"/>
  <c r="H56" i="20" s="1"/>
  <c r="AA11" i="18"/>
  <c r="AC10" i="18"/>
  <c r="L54" i="20" s="1"/>
  <c r="AE9" i="18"/>
  <c r="N53" i="20" s="1"/>
  <c r="W9" i="18"/>
  <c r="F53" i="20" s="1"/>
  <c r="Y8" i="18"/>
  <c r="AA7" i="18"/>
  <c r="J51" i="20" s="1"/>
  <c r="AC6" i="18"/>
  <c r="L50" i="20" s="1"/>
  <c r="AE5" i="18"/>
  <c r="W5" i="18"/>
  <c r="Y4" i="18"/>
  <c r="AB31" i="11"/>
  <c r="M22" i="20" s="1"/>
  <c r="AC23" i="18"/>
  <c r="L67" i="20" s="1"/>
  <c r="AA20" i="18"/>
  <c r="AC7" i="18"/>
  <c r="L51" i="20" s="1"/>
  <c r="AE6" i="18"/>
  <c r="AA4" i="18"/>
  <c r="AA3" i="18"/>
  <c r="AB26" i="18"/>
  <c r="AD25" i="18"/>
  <c r="M60" i="20" s="1"/>
  <c r="V25" i="18"/>
  <c r="E60" i="20" s="1"/>
  <c r="D60" i="20" s="1"/>
  <c r="X24" i="18"/>
  <c r="Z23" i="18"/>
  <c r="I67" i="20" s="1"/>
  <c r="AB22" i="18"/>
  <c r="AD21" i="18"/>
  <c r="M65" i="20" s="1"/>
  <c r="V21" i="18"/>
  <c r="X20" i="18"/>
  <c r="Z19" i="18"/>
  <c r="I63" i="20" s="1"/>
  <c r="AB18" i="18"/>
  <c r="K62" i="20" s="1"/>
  <c r="AD17" i="18"/>
  <c r="M70" i="20" s="1"/>
  <c r="V17" i="18"/>
  <c r="E70" i="20" s="1"/>
  <c r="D70" i="20" s="1"/>
  <c r="X16" i="18"/>
  <c r="Z15" i="18"/>
  <c r="AB14" i="18"/>
  <c r="AD13" i="18"/>
  <c r="M58" i="20" s="1"/>
  <c r="V13" i="18"/>
  <c r="E58" i="20" s="1"/>
  <c r="D58" i="20" s="1"/>
  <c r="X12" i="18"/>
  <c r="G56" i="20" s="1"/>
  <c r="Z11" i="18"/>
  <c r="AB10" i="18"/>
  <c r="K54" i="20" s="1"/>
  <c r="AD9" i="18"/>
  <c r="M53" i="20" s="1"/>
  <c r="V9" i="18"/>
  <c r="X8" i="18"/>
  <c r="Z7" i="18"/>
  <c r="AB6" i="18"/>
  <c r="K50" i="20" s="1"/>
  <c r="AD5" i="18"/>
  <c r="M49" i="20" s="1"/>
  <c r="V5" i="18"/>
  <c r="X4" i="18"/>
  <c r="G48" i="20" s="1"/>
  <c r="Y23" i="18"/>
  <c r="AC21" i="18"/>
  <c r="L65" i="20" s="1"/>
  <c r="W20" i="18"/>
  <c r="Y7" i="18"/>
  <c r="AA6" i="18"/>
  <c r="J50" i="20" s="1"/>
  <c r="AC5" i="18"/>
  <c r="L49" i="20" s="1"/>
  <c r="AE4" i="18"/>
  <c r="AD3" i="18"/>
  <c r="M47" i="20" s="1"/>
  <c r="AC25" i="18"/>
  <c r="L60" i="20" s="1"/>
  <c r="AA22" i="18"/>
  <c r="AE20" i="18"/>
  <c r="AA18" i="18"/>
  <c r="J62" i="20" s="1"/>
  <c r="AC17" i="18"/>
  <c r="L70" i="20" s="1"/>
  <c r="Y15" i="18"/>
  <c r="H59" i="20" s="1"/>
  <c r="AA14" i="18"/>
  <c r="AC13" i="18"/>
  <c r="L58" i="20" s="1"/>
  <c r="AE12" i="18"/>
  <c r="W12" i="18"/>
  <c r="AA10" i="18"/>
  <c r="AC9" i="18"/>
  <c r="L53" i="20" s="1"/>
  <c r="W4" i="18"/>
  <c r="F48" i="20" s="1"/>
  <c r="Y3" i="18"/>
  <c r="H47" i="20" s="1"/>
  <c r="Z26" i="18"/>
  <c r="AB25" i="18"/>
  <c r="K60" i="20" s="1"/>
  <c r="AD24" i="18"/>
  <c r="M68" i="20" s="1"/>
  <c r="V24" i="18"/>
  <c r="X23" i="18"/>
  <c r="Z22" i="18"/>
  <c r="I66" i="20" s="1"/>
  <c r="AB21" i="18"/>
  <c r="K65" i="20" s="1"/>
  <c r="AD20" i="18"/>
  <c r="M64" i="20" s="1"/>
  <c r="V20" i="18"/>
  <c r="X19" i="18"/>
  <c r="G63" i="20" s="1"/>
  <c r="Z18" i="18"/>
  <c r="AB17" i="18"/>
  <c r="AD16" i="18"/>
  <c r="M69" i="20" s="1"/>
  <c r="V16" i="18"/>
  <c r="E69" i="20" s="1"/>
  <c r="D69" i="20" s="1"/>
  <c r="X15" i="18"/>
  <c r="G59" i="20" s="1"/>
  <c r="Z14" i="18"/>
  <c r="I57" i="20" s="1"/>
  <c r="AB13" i="18"/>
  <c r="AD12" i="18"/>
  <c r="M56" i="20" s="1"/>
  <c r="V12" i="18"/>
  <c r="X11" i="18"/>
  <c r="Z10" i="18"/>
  <c r="AB9" i="18"/>
  <c r="K53" i="20" s="1"/>
  <c r="AD8" i="18"/>
  <c r="M52" i="20" s="1"/>
  <c r="V8" i="18"/>
  <c r="E52" i="20" s="1"/>
  <c r="D52" i="20" s="1"/>
  <c r="X7" i="18"/>
  <c r="Z6" i="18"/>
  <c r="I50" i="20" s="1"/>
  <c r="AB5" i="18"/>
  <c r="AD4" i="18"/>
  <c r="M48" i="20" s="1"/>
  <c r="V4" i="18"/>
  <c r="W23" i="18"/>
  <c r="F67" i="20" s="1"/>
  <c r="W15" i="18"/>
  <c r="F59" i="20" s="1"/>
  <c r="Y14" i="18"/>
  <c r="H57" i="20" s="1"/>
  <c r="AA13" i="18"/>
  <c r="AC12" i="18"/>
  <c r="L56" i="20" s="1"/>
  <c r="AE7" i="18"/>
  <c r="W7" i="18"/>
  <c r="AA5" i="18"/>
  <c r="AB29" i="11"/>
  <c r="M20" i="20" s="1"/>
  <c r="AA25" i="18"/>
  <c r="J60" i="20" s="1"/>
  <c r="AE23" i="18"/>
  <c r="N67" i="20" s="1"/>
  <c r="Y22" i="18"/>
  <c r="AA21" i="18"/>
  <c r="J65" i="20" s="1"/>
  <c r="Y18" i="18"/>
  <c r="AA17" i="18"/>
  <c r="AE15" i="18"/>
  <c r="Y10" i="18"/>
  <c r="H54" i="20" s="1"/>
  <c r="AA9" i="18"/>
  <c r="J53" i="20" s="1"/>
  <c r="W3" i="18"/>
  <c r="F47" i="20" s="1"/>
  <c r="X26" i="18"/>
  <c r="Z25" i="18"/>
  <c r="I60" i="20" s="1"/>
  <c r="AB24" i="18"/>
  <c r="AD23" i="18"/>
  <c r="M67" i="20" s="1"/>
  <c r="V23" i="18"/>
  <c r="X22" i="18"/>
  <c r="G66" i="20" s="1"/>
  <c r="Z21" i="18"/>
  <c r="I65" i="20" s="1"/>
  <c r="AB20" i="18"/>
  <c r="K64" i="20" s="1"/>
  <c r="AD19" i="18"/>
  <c r="M63" i="20" s="1"/>
  <c r="V19" i="18"/>
  <c r="E63" i="20" s="1"/>
  <c r="D63" i="20" s="1"/>
  <c r="X18" i="18"/>
  <c r="Z17" i="18"/>
  <c r="AB16" i="18"/>
  <c r="AD15" i="18"/>
  <c r="M59" i="20" s="1"/>
  <c r="V15" i="18"/>
  <c r="E59" i="20" s="1"/>
  <c r="D59" i="20" s="1"/>
  <c r="X14" i="18"/>
  <c r="G57" i="20" s="1"/>
  <c r="Z13" i="18"/>
  <c r="AB12" i="18"/>
  <c r="K56" i="20" s="1"/>
  <c r="AD11" i="18"/>
  <c r="M55" i="20" s="1"/>
  <c r="V11" i="18"/>
  <c r="X10" i="18"/>
  <c r="Z9" i="18"/>
  <c r="AB8" i="18"/>
  <c r="K52" i="20" s="1"/>
  <c r="AD7" i="18"/>
  <c r="M51" i="20" s="1"/>
  <c r="V7" i="18"/>
  <c r="X6" i="18"/>
  <c r="Z5" i="18"/>
  <c r="AB4" i="18"/>
  <c r="AE18" i="18"/>
  <c r="Y17" i="18"/>
  <c r="H70" i="20" s="1"/>
  <c r="Y21" i="18"/>
  <c r="H65" i="20" s="1"/>
  <c r="AC15" i="18"/>
  <c r="L59" i="20" s="1"/>
  <c r="AE14" i="18"/>
  <c r="Y13" i="18"/>
  <c r="H58" i="20" s="1"/>
  <c r="AE10" i="18"/>
  <c r="Y9" i="18"/>
  <c r="Y5" i="18"/>
  <c r="AD26" i="18"/>
  <c r="M61" i="20" s="1"/>
  <c r="AD22" i="18"/>
  <c r="M66" i="20" s="1"/>
  <c r="AD18" i="18"/>
  <c r="M62" i="20" s="1"/>
  <c r="AD14" i="18"/>
  <c r="M57" i="20" s="1"/>
  <c r="AD10" i="18"/>
  <c r="M54" i="20" s="1"/>
  <c r="AD6" i="18"/>
  <c r="M50" i="20" s="1"/>
  <c r="E55" i="21"/>
  <c r="V18" i="19"/>
  <c r="K55" i="21"/>
  <c r="E67" i="21"/>
  <c r="I57" i="21"/>
  <c r="E69" i="21"/>
  <c r="O56" i="21"/>
  <c r="H68" i="21"/>
  <c r="J68" i="21"/>
  <c r="L59" i="21"/>
  <c r="I63" i="21"/>
  <c r="G61" i="21"/>
  <c r="L62" i="21"/>
  <c r="G64" i="21"/>
  <c r="J57" i="21"/>
  <c r="E54" i="21"/>
  <c r="K65" i="21"/>
  <c r="J63" i="21"/>
  <c r="E66" i="21"/>
  <c r="E49" i="21"/>
  <c r="G54" i="21"/>
  <c r="L55" i="21"/>
  <c r="E57" i="21"/>
  <c r="H58" i="21"/>
  <c r="O59" i="21"/>
  <c r="H61" i="21"/>
  <c r="O62" i="21"/>
  <c r="H64" i="21"/>
  <c r="L65" i="21"/>
  <c r="G67" i="21"/>
  <c r="K68" i="21"/>
  <c r="E70" i="21"/>
  <c r="I58" i="21"/>
  <c r="I64" i="21"/>
  <c r="I69" i="21"/>
  <c r="J58" i="21"/>
  <c r="J64" i="21"/>
  <c r="J69" i="21"/>
  <c r="H54" i="21"/>
  <c r="O55" i="21"/>
  <c r="G57" i="21"/>
  <c r="K58" i="21"/>
  <c r="G60" i="21"/>
  <c r="K61" i="21"/>
  <c r="E63" i="21"/>
  <c r="K64" i="21"/>
  <c r="O65" i="21"/>
  <c r="H67" i="21"/>
  <c r="L68" i="21"/>
  <c r="G70" i="21"/>
  <c r="I59" i="21"/>
  <c r="I65" i="21"/>
  <c r="I70" i="21"/>
  <c r="J59" i="21"/>
  <c r="J65" i="21"/>
  <c r="J70" i="21"/>
  <c r="G53" i="21"/>
  <c r="K54" i="21"/>
  <c r="E56" i="21"/>
  <c r="H57" i="21"/>
  <c r="L58" i="21"/>
  <c r="H60" i="21"/>
  <c r="L61" i="21"/>
  <c r="G63" i="21"/>
  <c r="L64" i="21"/>
  <c r="G66" i="21"/>
  <c r="K67" i="21"/>
  <c r="O68" i="21"/>
  <c r="H70" i="21"/>
  <c r="I60" i="21"/>
  <c r="I66" i="21"/>
  <c r="J60" i="21"/>
  <c r="J66" i="21"/>
  <c r="H53" i="21"/>
  <c r="L54" i="21"/>
  <c r="G56" i="21"/>
  <c r="K57" i="21"/>
  <c r="O58" i="21"/>
  <c r="K60" i="21"/>
  <c r="O61" i="21"/>
  <c r="H63" i="21"/>
  <c r="O64" i="21"/>
  <c r="H66" i="21"/>
  <c r="L67" i="21"/>
  <c r="G69" i="21"/>
  <c r="K70" i="21"/>
  <c r="I53" i="21"/>
  <c r="J53" i="21"/>
  <c r="K53" i="21"/>
  <c r="O54" i="21"/>
  <c r="H56" i="21"/>
  <c r="L57" i="21"/>
  <c r="G59" i="21"/>
  <c r="L60" i="21"/>
  <c r="G62" i="21"/>
  <c r="K63" i="21"/>
  <c r="E65" i="21"/>
  <c r="K66" i="21"/>
  <c r="O67" i="21"/>
  <c r="H69" i="21"/>
  <c r="L70" i="21"/>
  <c r="I54" i="21"/>
  <c r="I61" i="21"/>
  <c r="I67" i="21"/>
  <c r="J54" i="21"/>
  <c r="J61" i="21"/>
  <c r="J67" i="21"/>
  <c r="L53" i="21"/>
  <c r="G55" i="21"/>
  <c r="K56" i="21"/>
  <c r="O57" i="21"/>
  <c r="H59" i="21"/>
  <c r="O60" i="21"/>
  <c r="H62" i="21"/>
  <c r="L63" i="21"/>
  <c r="G65" i="21"/>
  <c r="L66" i="21"/>
  <c r="E68" i="21"/>
  <c r="K69" i="21"/>
  <c r="O70" i="21"/>
  <c r="I55" i="21"/>
  <c r="J55" i="21"/>
  <c r="O53" i="21"/>
  <c r="H55" i="21"/>
  <c r="L56" i="21"/>
  <c r="E58" i="21"/>
  <c r="K59" i="21"/>
  <c r="E61" i="21"/>
  <c r="K62" i="21"/>
  <c r="O63" i="21"/>
  <c r="H65" i="21"/>
  <c r="O66" i="21"/>
  <c r="G68" i="21"/>
  <c r="L69" i="21"/>
  <c r="I56" i="21"/>
  <c r="I62" i="21"/>
  <c r="I68" i="21"/>
  <c r="J56" i="21"/>
  <c r="J62" i="21"/>
  <c r="R20" i="17"/>
  <c r="F30" i="21" s="1"/>
  <c r="E30" i="21" s="1"/>
  <c r="R23" i="11"/>
  <c r="R24" i="11" s="1"/>
  <c r="I22" i="21"/>
  <c r="E22" i="21"/>
  <c r="O8" i="21"/>
  <c r="O12" i="21"/>
  <c r="K11" i="21"/>
  <c r="R29" i="17"/>
  <c r="F20" i="21" s="1"/>
  <c r="E20" i="21" s="1"/>
  <c r="H14" i="21"/>
  <c r="G28" i="21"/>
  <c r="G12" i="21"/>
  <c r="K27" i="21"/>
  <c r="H21" i="21"/>
  <c r="K35" i="21"/>
  <c r="H18" i="21"/>
  <c r="K37" i="21"/>
  <c r="O38" i="21"/>
  <c r="L10" i="21"/>
  <c r="W19" i="17"/>
  <c r="K17" i="21"/>
  <c r="L19" i="21"/>
  <c r="G11" i="21"/>
  <c r="H20" i="21"/>
  <c r="E19" i="21"/>
  <c r="AA19" i="17"/>
  <c r="G30" i="21"/>
  <c r="E11" i="21"/>
  <c r="S22" i="17"/>
  <c r="G29" i="21" s="1"/>
  <c r="I30" i="21"/>
  <c r="M23" i="20"/>
  <c r="L23" i="20"/>
  <c r="H5" i="21"/>
  <c r="O11" i="21"/>
  <c r="K15" i="21"/>
  <c r="K16" i="21"/>
  <c r="R18" i="17"/>
  <c r="F23" i="21" s="1"/>
  <c r="E23" i="21" s="1"/>
  <c r="X19" i="17"/>
  <c r="L24" i="21" s="1"/>
  <c r="O34" i="21"/>
  <c r="G36" i="21"/>
  <c r="I10" i="21"/>
  <c r="I38" i="21"/>
  <c r="J14" i="21"/>
  <c r="V19" i="17"/>
  <c r="J24" i="21" s="1"/>
  <c r="J34" i="21"/>
  <c r="K8" i="21"/>
  <c r="H13" i="21"/>
  <c r="O17" i="21"/>
  <c r="W18" i="17"/>
  <c r="O30" i="21"/>
  <c r="I14" i="21"/>
  <c r="U18" i="17"/>
  <c r="J18" i="21"/>
  <c r="M5" i="21"/>
  <c r="O5" i="21"/>
  <c r="E10" i="21"/>
  <c r="L14" i="21"/>
  <c r="O15" i="21"/>
  <c r="O16" i="21"/>
  <c r="X18" i="17"/>
  <c r="L23" i="21" s="1"/>
  <c r="O36" i="21"/>
  <c r="G38" i="21"/>
  <c r="U19" i="17"/>
  <c r="I24" i="21" s="1"/>
  <c r="I34" i="21"/>
  <c r="J30" i="21"/>
  <c r="G6" i="21"/>
  <c r="K12" i="21"/>
  <c r="L13" i="21"/>
  <c r="G15" i="21"/>
  <c r="G16" i="21"/>
  <c r="G17" i="21"/>
  <c r="R19" i="17"/>
  <c r="O28" i="21"/>
  <c r="G34" i="21"/>
  <c r="I18" i="21"/>
  <c r="J22" i="21"/>
  <c r="J38" i="21"/>
  <c r="J10" i="21"/>
  <c r="K7" i="21"/>
  <c r="H10" i="21"/>
  <c r="E14" i="21"/>
  <c r="L18" i="21"/>
  <c r="L22" i="21"/>
  <c r="T19" i="17"/>
  <c r="H24" i="21" s="1"/>
  <c r="K31" i="21"/>
  <c r="J5" i="21"/>
  <c r="S18" i="17"/>
  <c r="G23" i="21" s="1"/>
  <c r="S19" i="17"/>
  <c r="G24" i="21" s="1"/>
  <c r="F5" i="21"/>
  <c r="L20" i="20"/>
  <c r="X22" i="17"/>
  <c r="L29" i="21" s="1"/>
  <c r="R22" i="17"/>
  <c r="W22" i="17"/>
  <c r="K29" i="21" s="1"/>
  <c r="V22" i="17"/>
  <c r="J29" i="21" s="1"/>
  <c r="U22" i="17"/>
  <c r="I29" i="21" s="1"/>
  <c r="T22" i="17"/>
  <c r="H29" i="21" s="1"/>
  <c r="AA22" i="17"/>
  <c r="O29" i="21" s="1"/>
  <c r="R22" i="11"/>
  <c r="R27" i="11"/>
  <c r="T28" i="17"/>
  <c r="H26" i="21" s="1"/>
  <c r="X27" i="17"/>
  <c r="L25" i="21" s="1"/>
  <c r="R27" i="17"/>
  <c r="F25" i="21" s="1"/>
  <c r="E25" i="21" s="1"/>
  <c r="V28" i="17"/>
  <c r="J26" i="21" s="1"/>
  <c r="U28" i="17"/>
  <c r="I26" i="21" s="1"/>
  <c r="AA28" i="17"/>
  <c r="O26" i="21" s="1"/>
  <c r="S28" i="17"/>
  <c r="G26" i="21" s="1"/>
  <c r="W27" i="17"/>
  <c r="K25" i="21" s="1"/>
  <c r="V27" i="17"/>
  <c r="J25" i="21" s="1"/>
  <c r="U27" i="17"/>
  <c r="I25" i="21" s="1"/>
  <c r="X28" i="17"/>
  <c r="L26" i="21" s="1"/>
  <c r="R28" i="17"/>
  <c r="T27" i="17"/>
  <c r="W28" i="17"/>
  <c r="K26" i="21" s="1"/>
  <c r="AA27" i="17"/>
  <c r="O25" i="21" s="1"/>
  <c r="S27" i="17"/>
  <c r="G25" i="21" s="1"/>
  <c r="H8" i="21"/>
  <c r="J36" i="21"/>
  <c r="J28" i="21"/>
  <c r="J20" i="21"/>
  <c r="J16" i="21"/>
  <c r="J12" i="21"/>
  <c r="J8" i="21"/>
  <c r="I36" i="21"/>
  <c r="I28" i="21"/>
  <c r="I20" i="21"/>
  <c r="I16" i="21"/>
  <c r="I12" i="21"/>
  <c r="I8" i="21"/>
  <c r="K38" i="21"/>
  <c r="O37" i="21"/>
  <c r="G37" i="21"/>
  <c r="K36" i="21"/>
  <c r="O35" i="21"/>
  <c r="G35" i="21"/>
  <c r="K34" i="21"/>
  <c r="O31" i="21"/>
  <c r="G31" i="21"/>
  <c r="K30" i="21"/>
  <c r="K28" i="21"/>
  <c r="O27" i="21"/>
  <c r="G27" i="21"/>
  <c r="H22" i="21"/>
  <c r="L21" i="21"/>
  <c r="E21" i="21"/>
  <c r="H19" i="21"/>
  <c r="O20" i="21"/>
  <c r="H7" i="21"/>
  <c r="L6" i="21"/>
  <c r="E6" i="21"/>
  <c r="I27" i="21"/>
  <c r="I23" i="21"/>
  <c r="I19" i="21"/>
  <c r="I15" i="21"/>
  <c r="I11" i="21"/>
  <c r="I7" i="21"/>
  <c r="H38" i="21"/>
  <c r="L37" i="21"/>
  <c r="F37" i="21"/>
  <c r="E37" i="21" s="1"/>
  <c r="H36" i="21"/>
  <c r="L35" i="21"/>
  <c r="F35" i="21"/>
  <c r="E35" i="21" s="1"/>
  <c r="H34" i="21"/>
  <c r="L31" i="21"/>
  <c r="E31" i="21"/>
  <c r="H30" i="21"/>
  <c r="H28" i="21"/>
  <c r="L27" i="21"/>
  <c r="E27" i="21"/>
  <c r="O22" i="21"/>
  <c r="G22" i="21"/>
  <c r="K21" i="21"/>
  <c r="L20" i="21"/>
  <c r="O19" i="21"/>
  <c r="G19" i="21"/>
  <c r="K18" i="21"/>
  <c r="L17" i="21"/>
  <c r="E17" i="21"/>
  <c r="H16" i="21"/>
  <c r="L15" i="21"/>
  <c r="O14" i="21"/>
  <c r="G14" i="21"/>
  <c r="K13" i="21"/>
  <c r="E12" i="21"/>
  <c r="H11" i="21"/>
  <c r="K10" i="21"/>
  <c r="G9" i="21"/>
  <c r="J35" i="21"/>
  <c r="J31" i="21"/>
  <c r="J27" i="21"/>
  <c r="J23" i="21"/>
  <c r="J19" i="21"/>
  <c r="J15" i="21"/>
  <c r="J11" i="21"/>
  <c r="J7" i="21"/>
  <c r="I35" i="21"/>
  <c r="I31" i="21"/>
  <c r="L12" i="21"/>
  <c r="O9" i="21"/>
  <c r="O24" i="21"/>
  <c r="K23" i="21"/>
  <c r="K20" i="21"/>
  <c r="O7" i="21"/>
  <c r="G7" i="21"/>
  <c r="K6" i="21"/>
  <c r="H23" i="21"/>
  <c r="L7" i="21"/>
  <c r="E7" i="21"/>
  <c r="H6" i="21"/>
  <c r="O23" i="21"/>
  <c r="G8" i="21"/>
  <c r="J37" i="21"/>
  <c r="J21" i="21"/>
  <c r="J17" i="21"/>
  <c r="J13" i="21"/>
  <c r="J9" i="21"/>
  <c r="I37" i="21"/>
  <c r="I21" i="21"/>
  <c r="I17" i="21"/>
  <c r="I13" i="21"/>
  <c r="I9" i="21"/>
  <c r="L38" i="21"/>
  <c r="F38" i="21"/>
  <c r="E38" i="21" s="1"/>
  <c r="H37" i="21"/>
  <c r="L36" i="21"/>
  <c r="F36" i="21"/>
  <c r="E36" i="21" s="1"/>
  <c r="H35" i="21"/>
  <c r="L34" i="21"/>
  <c r="F34" i="21"/>
  <c r="E34" i="21" s="1"/>
  <c r="H31" i="21"/>
  <c r="L30" i="21"/>
  <c r="L28" i="21"/>
  <c r="E28" i="21"/>
  <c r="H27" i="21"/>
  <c r="H25" i="21"/>
  <c r="K22" i="21"/>
  <c r="O21" i="21"/>
  <c r="G21" i="21"/>
  <c r="G20" i="21"/>
  <c r="K19" i="21"/>
  <c r="O18" i="21"/>
  <c r="G18" i="21"/>
  <c r="H17" i="21"/>
  <c r="L16" i="21"/>
  <c r="E16" i="21"/>
  <c r="H15" i="21"/>
  <c r="K14" i="21"/>
  <c r="O13" i="21"/>
  <c r="G13" i="21"/>
  <c r="H12" i="21"/>
  <c r="L11" i="21"/>
  <c r="O10" i="21"/>
  <c r="G10" i="21"/>
  <c r="K9" i="21"/>
  <c r="L8" i="21"/>
  <c r="K24" i="21"/>
  <c r="E15" i="21"/>
  <c r="N5" i="21"/>
  <c r="L22" i="20"/>
  <c r="I70" i="20"/>
  <c r="H52" i="20"/>
  <c r="G50" i="20"/>
  <c r="H49" i="20"/>
  <c r="G58" i="20"/>
  <c r="N48" i="20"/>
  <c r="N50" i="20"/>
  <c r="H60" i="20"/>
  <c r="I55" i="20"/>
  <c r="E50" i="20"/>
  <c r="D50" i="20" s="1"/>
  <c r="G53" i="20"/>
  <c r="E49" i="20"/>
  <c r="D49" i="20" s="1"/>
  <c r="E48" i="20"/>
  <c r="D48" i="20" s="1"/>
  <c r="I51" i="20"/>
  <c r="F63" i="20"/>
  <c r="K49" i="20"/>
  <c r="V3" i="18"/>
  <c r="E47" i="20" s="1"/>
  <c r="D47" i="20" s="1"/>
  <c r="J52" i="20"/>
  <c r="K57" i="20"/>
  <c r="F60" i="20"/>
  <c r="H67" i="20"/>
  <c r="F70" i="20"/>
  <c r="G69" i="20"/>
  <c r="G52" i="20"/>
  <c r="J49" i="20"/>
  <c r="K48" i="20"/>
  <c r="F49" i="20"/>
  <c r="G49" i="20"/>
  <c r="N64" i="20"/>
  <c r="I69" i="20"/>
  <c r="N49" i="20"/>
  <c r="N52" i="20"/>
  <c r="N56" i="20"/>
  <c r="N59" i="20"/>
  <c r="J69" i="20"/>
  <c r="K69" i="20"/>
  <c r="I52" i="20"/>
  <c r="I59" i="20"/>
  <c r="G55" i="20"/>
  <c r="E64" i="20"/>
  <c r="D64" i="20" s="1"/>
  <c r="F64" i="20"/>
  <c r="I47" i="20"/>
  <c r="K51" i="20"/>
  <c r="N57" i="20"/>
  <c r="G60" i="20"/>
  <c r="E66" i="20"/>
  <c r="D66" i="20" s="1"/>
  <c r="N66" i="20"/>
  <c r="J68" i="20"/>
  <c r="J63" i="20"/>
  <c r="I56" i="20"/>
  <c r="N61" i="20"/>
  <c r="F68" i="20"/>
  <c r="G67" i="20"/>
  <c r="J64" i="20"/>
  <c r="K63" i="20"/>
  <c r="N62" i="20"/>
  <c r="F69" i="20"/>
  <c r="I58" i="20"/>
  <c r="J56" i="20"/>
  <c r="K55" i="20"/>
  <c r="N54" i="20"/>
  <c r="H53" i="20"/>
  <c r="E53" i="20"/>
  <c r="D53" i="20" s="1"/>
  <c r="F52" i="20"/>
  <c r="G51" i="20"/>
  <c r="H50" i="20"/>
  <c r="I49" i="20"/>
  <c r="J48" i="20"/>
  <c r="K47" i="20"/>
  <c r="E62" i="20"/>
  <c r="D62" i="20" s="1"/>
  <c r="N51" i="20"/>
  <c r="J55" i="20"/>
  <c r="E57" i="20"/>
  <c r="D57" i="20" s="1"/>
  <c r="E67" i="20"/>
  <c r="D67" i="20" s="1"/>
  <c r="K68" i="20"/>
  <c r="N69" i="20"/>
  <c r="E65" i="20"/>
  <c r="D65" i="20" s="1"/>
  <c r="H48" i="20"/>
  <c r="H63" i="20"/>
  <c r="I48" i="20"/>
  <c r="F61" i="20"/>
  <c r="N55" i="20"/>
  <c r="H51" i="20"/>
  <c r="E56" i="20"/>
  <c r="D56" i="20" s="1"/>
  <c r="F57" i="20"/>
  <c r="F66" i="20"/>
  <c r="G70" i="20"/>
  <c r="H64" i="20"/>
  <c r="I68" i="20"/>
  <c r="J58" i="20"/>
  <c r="E54" i="20"/>
  <c r="D54" i="20" s="1"/>
  <c r="G47" i="20"/>
  <c r="F58" i="20"/>
  <c r="J67" i="20"/>
  <c r="N68" i="20"/>
  <c r="J70" i="20"/>
  <c r="F65" i="20"/>
  <c r="I64" i="20"/>
  <c r="E61" i="20"/>
  <c r="D61" i="20" s="1"/>
  <c r="J47" i="20"/>
  <c r="E51" i="20"/>
  <c r="D51" i="20" s="1"/>
  <c r="E55" i="20"/>
  <c r="D55" i="20" s="1"/>
  <c r="F56" i="20"/>
  <c r="G64" i="20"/>
  <c r="J66" i="20"/>
  <c r="K67" i="20"/>
  <c r="G65" i="20"/>
  <c r="H55" i="20"/>
  <c r="H66" i="20"/>
  <c r="I54" i="20"/>
  <c r="N63" i="20"/>
  <c r="N47" i="20"/>
  <c r="F51" i="20"/>
  <c r="F55" i="20"/>
  <c r="J57" i="20"/>
  <c r="K66" i="20"/>
  <c r="H68" i="20"/>
  <c r="G68" i="20"/>
  <c r="K58" i="20"/>
  <c r="K59" i="20"/>
  <c r="E68" i="20"/>
  <c r="D68" i="20" s="1"/>
  <c r="I61" i="20"/>
  <c r="G54" i="20"/>
  <c r="G62" i="20"/>
  <c r="G61" i="20"/>
  <c r="J54" i="20"/>
  <c r="J61" i="20"/>
  <c r="K70" i="20"/>
  <c r="H62" i="20"/>
  <c r="F54" i="20"/>
  <c r="K61" i="20"/>
  <c r="I62" i="20"/>
  <c r="F62" i="20"/>
  <c r="H61" i="20"/>
  <c r="N60" i="20"/>
  <c r="N70" i="20"/>
  <c r="I53" i="20"/>
  <c r="V18" i="11"/>
  <c r="G23" i="20" s="1"/>
  <c r="E5" i="20"/>
  <c r="D5" i="20" s="1"/>
  <c r="G6" i="20"/>
  <c r="K28" i="20"/>
  <c r="E8" i="20"/>
  <c r="D8" i="20" s="1"/>
  <c r="G10" i="20"/>
  <c r="E12" i="20"/>
  <c r="D12" i="20" s="1"/>
  <c r="I5" i="20"/>
  <c r="Z31" i="11"/>
  <c r="K22" i="20" s="1"/>
  <c r="G5" i="20"/>
  <c r="K37" i="20"/>
  <c r="K7" i="20"/>
  <c r="W29" i="11"/>
  <c r="H20" i="20" s="1"/>
  <c r="G16" i="20"/>
  <c r="E17" i="20"/>
  <c r="D17" i="20" s="1"/>
  <c r="E27" i="20"/>
  <c r="D27" i="20" s="1"/>
  <c r="G8" i="20"/>
  <c r="K10" i="20"/>
  <c r="G28" i="20"/>
  <c r="H9" i="20"/>
  <c r="AC18" i="11"/>
  <c r="N23" i="20" s="1"/>
  <c r="K9" i="20"/>
  <c r="G18" i="20"/>
  <c r="K14" i="20"/>
  <c r="K5" i="20"/>
  <c r="G9" i="20"/>
  <c r="G12" i="20"/>
  <c r="G17" i="20"/>
  <c r="E38" i="20"/>
  <c r="D38" i="20" s="1"/>
  <c r="I37" i="20"/>
  <c r="U31" i="11"/>
  <c r="F22" i="20" s="1"/>
  <c r="G38" i="20"/>
  <c r="W18" i="11"/>
  <c r="E16" i="20"/>
  <c r="D16" i="20" s="1"/>
  <c r="K17" i="20"/>
  <c r="K13" i="20"/>
  <c r="E11" i="20"/>
  <c r="D11" i="20" s="1"/>
  <c r="K19" i="20"/>
  <c r="H5" i="20"/>
  <c r="H13" i="20"/>
  <c r="AC29" i="11"/>
  <c r="N20" i="20" s="1"/>
  <c r="AC23" i="11"/>
  <c r="N36" i="20" s="1"/>
  <c r="K15" i="20"/>
  <c r="E13" i="20"/>
  <c r="D13" i="20" s="1"/>
  <c r="E15" i="20"/>
  <c r="D15" i="20" s="1"/>
  <c r="G27" i="20"/>
  <c r="W23" i="11"/>
  <c r="H36" i="20" s="1"/>
  <c r="X29" i="11"/>
  <c r="I20" i="20" s="1"/>
  <c r="J5" i="20"/>
  <c r="K18" i="20"/>
  <c r="T29" i="11"/>
  <c r="E20" i="20" s="1"/>
  <c r="D20" i="20" s="1"/>
  <c r="U29" i="11"/>
  <c r="F20" i="20" s="1"/>
  <c r="K27" i="20"/>
  <c r="V29" i="11"/>
  <c r="G20" i="20" s="1"/>
  <c r="H38" i="20"/>
  <c r="H6" i="20"/>
  <c r="H14" i="20"/>
  <c r="K6" i="20"/>
  <c r="V31" i="11"/>
  <c r="G22" i="20" s="1"/>
  <c r="H10" i="20"/>
  <c r="E37" i="20"/>
  <c r="D37" i="20" s="1"/>
  <c r="E10" i="20"/>
  <c r="D10" i="20" s="1"/>
  <c r="K11" i="20"/>
  <c r="G13" i="20"/>
  <c r="Y29" i="11"/>
  <c r="J20" i="20" s="1"/>
  <c r="R30" i="11"/>
  <c r="AA30" i="11" s="1"/>
  <c r="N5" i="20"/>
  <c r="H18" i="20"/>
  <c r="E9" i="20"/>
  <c r="D9" i="20" s="1"/>
  <c r="E19" i="20"/>
  <c r="D19" i="20" s="1"/>
  <c r="Z29" i="11"/>
  <c r="K20" i="20" s="1"/>
  <c r="H17" i="20"/>
  <c r="H12" i="20"/>
  <c r="Y18" i="11"/>
  <c r="J23" i="20" s="1"/>
  <c r="H8" i="20"/>
  <c r="H16" i="20"/>
  <c r="H28" i="20"/>
  <c r="H37" i="20"/>
  <c r="J6" i="20"/>
  <c r="N7" i="20"/>
  <c r="F9" i="20"/>
  <c r="J10" i="20"/>
  <c r="N11" i="20"/>
  <c r="F13" i="20"/>
  <c r="J14" i="20"/>
  <c r="N15" i="20"/>
  <c r="F17" i="20"/>
  <c r="J18" i="20"/>
  <c r="N19" i="20"/>
  <c r="F27" i="20"/>
  <c r="J28" i="20"/>
  <c r="N37" i="20"/>
  <c r="Y31" i="11"/>
  <c r="J22" i="20" s="1"/>
  <c r="Z18" i="11"/>
  <c r="K23" i="20" s="1"/>
  <c r="I6" i="20"/>
  <c r="I10" i="20"/>
  <c r="I14" i="20"/>
  <c r="I18" i="20"/>
  <c r="R19" i="11"/>
  <c r="I27" i="20"/>
  <c r="N6" i="20"/>
  <c r="F8" i="20"/>
  <c r="J9" i="20"/>
  <c r="N10" i="20"/>
  <c r="F12" i="20"/>
  <c r="J13" i="20"/>
  <c r="N14" i="20"/>
  <c r="F16" i="20"/>
  <c r="J17" i="20"/>
  <c r="N18" i="20"/>
  <c r="J27" i="20"/>
  <c r="N28" i="20"/>
  <c r="F38" i="20"/>
  <c r="AC31" i="11"/>
  <c r="N22" i="20" s="1"/>
  <c r="W27" i="11"/>
  <c r="H25" i="20" s="1"/>
  <c r="I7" i="20"/>
  <c r="I11" i="20"/>
  <c r="I15" i="20"/>
  <c r="I19" i="20"/>
  <c r="X31" i="11"/>
  <c r="I22" i="20" s="1"/>
  <c r="I28" i="20"/>
  <c r="I38" i="20"/>
  <c r="F7" i="20"/>
  <c r="J8" i="20"/>
  <c r="N9" i="20"/>
  <c r="F11" i="20"/>
  <c r="J12" i="20"/>
  <c r="N13" i="20"/>
  <c r="F15" i="20"/>
  <c r="J16" i="20"/>
  <c r="N17" i="20"/>
  <c r="F19" i="20"/>
  <c r="N27" i="20"/>
  <c r="F37" i="20"/>
  <c r="J38" i="20"/>
  <c r="T18" i="11"/>
  <c r="E23" i="20" s="1"/>
  <c r="D23" i="20" s="1"/>
  <c r="W31" i="11"/>
  <c r="H22" i="20" s="1"/>
  <c r="I8" i="20"/>
  <c r="I12" i="20"/>
  <c r="I16" i="20"/>
  <c r="G11" i="20"/>
  <c r="K12" i="20"/>
  <c r="E14" i="20"/>
  <c r="D14" i="20" s="1"/>
  <c r="G15" i="20"/>
  <c r="K16" i="20"/>
  <c r="E18" i="20"/>
  <c r="D18" i="20" s="1"/>
  <c r="G19" i="20"/>
  <c r="E28" i="20"/>
  <c r="D28" i="20" s="1"/>
  <c r="G37" i="20"/>
  <c r="K38" i="20"/>
  <c r="T31" i="11"/>
  <c r="E22" i="20" s="1"/>
  <c r="D22" i="20" s="1"/>
  <c r="U18" i="11"/>
  <c r="F23" i="20" s="1"/>
  <c r="H7" i="20"/>
  <c r="H11" i="20"/>
  <c r="H15" i="20"/>
  <c r="H19" i="20"/>
  <c r="H23" i="20"/>
  <c r="H27" i="20"/>
  <c r="X18" i="11"/>
  <c r="I23" i="20" s="1"/>
  <c r="E6" i="20"/>
  <c r="D6" i="20" s="1"/>
  <c r="G7" i="20"/>
  <c r="K8" i="20"/>
  <c r="F6" i="20"/>
  <c r="J7" i="20"/>
  <c r="N8" i="20"/>
  <c r="F10" i="20"/>
  <c r="J11" i="20"/>
  <c r="N12" i="20"/>
  <c r="F14" i="20"/>
  <c r="J15" i="20"/>
  <c r="N16" i="20"/>
  <c r="F18" i="20"/>
  <c r="J19" i="20"/>
  <c r="F28" i="20"/>
  <c r="J37" i="20"/>
  <c r="N38" i="20"/>
  <c r="Z27" i="11"/>
  <c r="K25" i="20" s="1"/>
  <c r="I9" i="20"/>
  <c r="I13" i="20"/>
  <c r="I17" i="20"/>
  <c r="AC21" i="23" l="1"/>
  <c r="U21" i="23"/>
  <c r="AB21" i="23"/>
  <c r="T21" i="23"/>
  <c r="AA21" i="23"/>
  <c r="Z21" i="23"/>
  <c r="Y21" i="23"/>
  <c r="X21" i="23"/>
  <c r="W21" i="23"/>
  <c r="V21" i="23"/>
  <c r="AC19" i="23"/>
  <c r="U19" i="23"/>
  <c r="AB19" i="23"/>
  <c r="T19" i="23"/>
  <c r="AA19" i="23"/>
  <c r="Z19" i="23"/>
  <c r="Y19" i="23"/>
  <c r="X19" i="23"/>
  <c r="W19" i="23"/>
  <c r="V19" i="23"/>
  <c r="AC25" i="23"/>
  <c r="U25" i="23"/>
  <c r="AB25" i="23"/>
  <c r="T25" i="23"/>
  <c r="AA25" i="23"/>
  <c r="Z25" i="23"/>
  <c r="Y25" i="23"/>
  <c r="X25" i="23"/>
  <c r="W25" i="23"/>
  <c r="V25" i="23"/>
  <c r="R26" i="11"/>
  <c r="Z23" i="11"/>
  <c r="K36" i="20" s="1"/>
  <c r="U23" i="11"/>
  <c r="F36" i="20" s="1"/>
  <c r="T23" i="11"/>
  <c r="E36" i="20" s="1"/>
  <c r="D36" i="20" s="1"/>
  <c r="X23" i="11"/>
  <c r="I36" i="20" s="1"/>
  <c r="T24" i="11"/>
  <c r="AC24" i="11"/>
  <c r="W24" i="11"/>
  <c r="U24" i="11"/>
  <c r="Z24" i="11"/>
  <c r="Y24" i="11"/>
  <c r="X24" i="11"/>
  <c r="R25" i="11"/>
  <c r="X25" i="11" s="1"/>
  <c r="I34" i="20" s="1"/>
  <c r="V23" i="11"/>
  <c r="G36" i="20" s="1"/>
  <c r="AA26" i="11"/>
  <c r="AB26" i="11"/>
  <c r="X27" i="11"/>
  <c r="I25" i="20" s="1"/>
  <c r="AA27" i="11"/>
  <c r="AB27" i="11"/>
  <c r="M25" i="20" s="1"/>
  <c r="AA24" i="11"/>
  <c r="AB24" i="11"/>
  <c r="AA19" i="11"/>
  <c r="L24" i="20" s="1"/>
  <c r="AB19" i="11"/>
  <c r="F26" i="21"/>
  <c r="E26" i="21" s="1"/>
  <c r="F24" i="21"/>
  <c r="E24" i="21" s="1"/>
  <c r="Y23" i="11"/>
  <c r="J36" i="20" s="1"/>
  <c r="AA23" i="11"/>
  <c r="L36" i="20" s="1"/>
  <c r="AB23" i="11"/>
  <c r="M36" i="20" s="1"/>
  <c r="F29" i="21"/>
  <c r="E29" i="21" s="1"/>
  <c r="V22" i="11"/>
  <c r="G29" i="20" s="1"/>
  <c r="AB22" i="11"/>
  <c r="M29" i="20" s="1"/>
  <c r="AA22" i="11"/>
  <c r="L29" i="20" s="1"/>
  <c r="AB30" i="11"/>
  <c r="E62" i="21"/>
  <c r="E60" i="21"/>
  <c r="U22" i="11"/>
  <c r="F29" i="20" s="1"/>
  <c r="E64" i="21"/>
  <c r="T22" i="11"/>
  <c r="E29" i="20" s="1"/>
  <c r="D29" i="20" s="1"/>
  <c r="E53" i="21"/>
  <c r="V27" i="11"/>
  <c r="G25" i="20" s="1"/>
  <c r="T27" i="11"/>
  <c r="E25" i="20" s="1"/>
  <c r="D25" i="20" s="1"/>
  <c r="AC27" i="11"/>
  <c r="N25" i="20" s="1"/>
  <c r="Y27" i="11"/>
  <c r="J25" i="20" s="1"/>
  <c r="U27" i="11"/>
  <c r="F25" i="20" s="1"/>
  <c r="V24" i="11"/>
  <c r="E5" i="21"/>
  <c r="R20" i="11"/>
  <c r="T20" i="11" s="1"/>
  <c r="E30" i="20" s="1"/>
  <c r="D30" i="20" s="1"/>
  <c r="Z22" i="11"/>
  <c r="K29" i="20" s="1"/>
  <c r="R21" i="11"/>
  <c r="AC22" i="11"/>
  <c r="N29" i="20" s="1"/>
  <c r="X22" i="11"/>
  <c r="I29" i="20" s="1"/>
  <c r="Y22" i="11"/>
  <c r="J29" i="20" s="1"/>
  <c r="W22" i="11"/>
  <c r="H29" i="20" s="1"/>
  <c r="L35" i="20"/>
  <c r="M35" i="20"/>
  <c r="U30" i="11"/>
  <c r="F21" i="20" s="1"/>
  <c r="M21" i="20"/>
  <c r="L21" i="20"/>
  <c r="E9" i="21"/>
  <c r="E18" i="21"/>
  <c r="M24" i="20"/>
  <c r="E13" i="21"/>
  <c r="R28" i="11"/>
  <c r="L25" i="20"/>
  <c r="W25" i="11"/>
  <c r="H34" i="20" s="1"/>
  <c r="X26" i="11"/>
  <c r="I35" i="20" s="1"/>
  <c r="V26" i="11"/>
  <c r="G35" i="20" s="1"/>
  <c r="U26" i="11"/>
  <c r="F35" i="20" s="1"/>
  <c r="T26" i="11"/>
  <c r="E35" i="20" s="1"/>
  <c r="D35" i="20" s="1"/>
  <c r="W26" i="11"/>
  <c r="H35" i="20" s="1"/>
  <c r="Z26" i="11"/>
  <c r="K35" i="20" s="1"/>
  <c r="AC26" i="11"/>
  <c r="N35" i="20" s="1"/>
  <c r="Y26" i="11"/>
  <c r="J35" i="20" s="1"/>
  <c r="T30" i="11"/>
  <c r="E21" i="20" s="1"/>
  <c r="D21" i="20" s="1"/>
  <c r="V30" i="11"/>
  <c r="G21" i="20" s="1"/>
  <c r="W30" i="11"/>
  <c r="H21" i="20" s="1"/>
  <c r="X30" i="11"/>
  <c r="I21" i="20" s="1"/>
  <c r="Z30" i="11"/>
  <c r="K21" i="20" s="1"/>
  <c r="Y30" i="11"/>
  <c r="J21" i="20" s="1"/>
  <c r="AC30" i="11"/>
  <c r="N21" i="20" s="1"/>
  <c r="V19" i="11"/>
  <c r="G24" i="20" s="1"/>
  <c r="U19" i="11"/>
  <c r="F24" i="20" s="1"/>
  <c r="T19" i="11"/>
  <c r="E24" i="20" s="1"/>
  <c r="D24" i="20" s="1"/>
  <c r="Z19" i="11"/>
  <c r="K24" i="20" s="1"/>
  <c r="X19" i="11"/>
  <c r="I24" i="20" s="1"/>
  <c r="W19" i="11"/>
  <c r="H24" i="20" s="1"/>
  <c r="Y19" i="11"/>
  <c r="J24" i="20" s="1"/>
  <c r="AC19" i="11"/>
  <c r="N24" i="20" s="1"/>
  <c r="T25" i="11" l="1"/>
  <c r="E34" i="20" s="1"/>
  <c r="D34" i="20" s="1"/>
  <c r="U25" i="11"/>
  <c r="F34" i="20" s="1"/>
  <c r="Z25" i="11"/>
  <c r="K34" i="20" s="1"/>
  <c r="V25" i="11"/>
  <c r="G34" i="20" s="1"/>
  <c r="AC25" i="11"/>
  <c r="N34" i="20" s="1"/>
  <c r="Y25" i="11"/>
  <c r="J34" i="20" s="1"/>
  <c r="AA25" i="11"/>
  <c r="L34" i="20" s="1"/>
  <c r="AB25" i="11"/>
  <c r="M34" i="20" s="1"/>
  <c r="AA28" i="11"/>
  <c r="AB28" i="11"/>
  <c r="U20" i="11"/>
  <c r="F30" i="20" s="1"/>
  <c r="AA20" i="11"/>
  <c r="AB20" i="11"/>
  <c r="M30" i="20" s="1"/>
  <c r="AC20" i="11"/>
  <c r="N30" i="20" s="1"/>
  <c r="AA21" i="11"/>
  <c r="L31" i="20" s="1"/>
  <c r="AB21" i="11"/>
  <c r="M31" i="20" s="1"/>
  <c r="Y20" i="11"/>
  <c r="J30" i="20" s="1"/>
  <c r="W20" i="11"/>
  <c r="H30" i="20" s="1"/>
  <c r="V20" i="11"/>
  <c r="G30" i="20" s="1"/>
  <c r="L30" i="20"/>
  <c r="X20" i="11"/>
  <c r="I30" i="20" s="1"/>
  <c r="Z20" i="11"/>
  <c r="K30" i="20" s="1"/>
  <c r="W21" i="11"/>
  <c r="H31" i="20" s="1"/>
  <c r="Z21" i="11"/>
  <c r="K31" i="20" s="1"/>
  <c r="AC21" i="11"/>
  <c r="N31" i="20" s="1"/>
  <c r="Y21" i="11"/>
  <c r="J31" i="20" s="1"/>
  <c r="V21" i="11"/>
  <c r="G31" i="20" s="1"/>
  <c r="U21" i="11"/>
  <c r="F31" i="20" s="1"/>
  <c r="T21" i="11"/>
  <c r="E31" i="20" s="1"/>
  <c r="D31" i="20" s="1"/>
  <c r="X21" i="11"/>
  <c r="I31" i="20" s="1"/>
  <c r="M26" i="20"/>
  <c r="L26" i="20"/>
  <c r="W28" i="11"/>
  <c r="H26" i="20" s="1"/>
  <c r="U28" i="11"/>
  <c r="F26" i="20" s="1"/>
  <c r="T28" i="11"/>
  <c r="E26" i="20" s="1"/>
  <c r="D26" i="20" s="1"/>
  <c r="V28" i="11"/>
  <c r="G26" i="20" s="1"/>
  <c r="AC28" i="11"/>
  <c r="N26" i="20" s="1"/>
  <c r="Y28" i="11"/>
  <c r="J26" i="20" s="1"/>
  <c r="X28" i="11"/>
  <c r="I26" i="20" s="1"/>
  <c r="Z28" i="11"/>
  <c r="K26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Page Kyle</author>
  </authors>
  <commentList>
    <comment ref="R29" authorId="0" shapeId="0" xr:uid="{00000000-0006-0000-0100-000001000000}">
      <text>
        <r>
          <rPr>
            <b/>
            <sz val="9"/>
            <color indexed="81"/>
            <rFont val="Calibri"/>
            <family val="2"/>
          </rPr>
          <t>Page Kyle:</t>
        </r>
        <r>
          <rPr>
            <sz val="9"/>
            <color indexed="81"/>
            <rFont val="Calibri"/>
            <family val="2"/>
          </rPr>
          <t xml:space="preserve">
convert Wh to kWh, kWh to gj, and lumen-hr to million lumen-hr</t>
        </r>
      </text>
    </comment>
  </commentList>
</comments>
</file>

<file path=xl/sharedStrings.xml><?xml version="1.0" encoding="utf-8"?>
<sst xmlns="http://schemas.openxmlformats.org/spreadsheetml/2006/main" count="1490" uniqueCount="158">
  <si>
    <t>Technology</t>
  </si>
  <si>
    <t>Service</t>
  </si>
  <si>
    <t>Fuel Input</t>
  </si>
  <si>
    <t>clothes dryer</t>
  </si>
  <si>
    <t>clothes dryer hi-eff</t>
  </si>
  <si>
    <t>clothes washer</t>
  </si>
  <si>
    <t>clothes washer hi-eff</t>
  </si>
  <si>
    <t>electricity</t>
  </si>
  <si>
    <t>refined liquids</t>
  </si>
  <si>
    <t>air conditioning</t>
  </si>
  <si>
    <t>air conditioning hi-eff</t>
  </si>
  <si>
    <t>dishwasher</t>
  </si>
  <si>
    <t>dishwasher hi-eff</t>
  </si>
  <si>
    <t>freezer</t>
  </si>
  <si>
    <t>freezer hi-eff</t>
  </si>
  <si>
    <t>gas furnace</t>
  </si>
  <si>
    <t>gas furnace hi-eff</t>
  </si>
  <si>
    <t>electric furnace</t>
  </si>
  <si>
    <t>electric heat pump</t>
  </si>
  <si>
    <t>fuel furnace</t>
  </si>
  <si>
    <t>fuel furnace hi-eff</t>
  </si>
  <si>
    <t>gas water heater</t>
  </si>
  <si>
    <t>gas water heater hi-eff</t>
  </si>
  <si>
    <t>electric heat pump water heater</t>
  </si>
  <si>
    <t>electric resistance water heater</t>
  </si>
  <si>
    <t>electric resistance water heater hi-eff</t>
  </si>
  <si>
    <t>fuel water heater</t>
  </si>
  <si>
    <t>fuel water heater hi-eff</t>
  </si>
  <si>
    <t>fluorescent</t>
  </si>
  <si>
    <t>incandescent</t>
  </si>
  <si>
    <t>solid state</t>
  </si>
  <si>
    <t>gas</t>
  </si>
  <si>
    <t>refrigerator</t>
  </si>
  <si>
    <t>refrigerator hi-eff</t>
  </si>
  <si>
    <t>Unit</t>
  </si>
  <si>
    <t>EF</t>
  </si>
  <si>
    <t>kwh/yr</t>
  </si>
  <si>
    <t>Lumens/W</t>
  </si>
  <si>
    <t>gas cooling</t>
  </si>
  <si>
    <t>ventilation</t>
  </si>
  <si>
    <t>ventilation hi-eff</t>
  </si>
  <si>
    <t>out/in</t>
  </si>
  <si>
    <t>lumens/W</t>
  </si>
  <si>
    <t>Out/in</t>
  </si>
  <si>
    <t>gas range</t>
  </si>
  <si>
    <t>gas range hi-eff</t>
  </si>
  <si>
    <t>electric range</t>
  </si>
  <si>
    <t>electric range hi-eff</t>
  </si>
  <si>
    <t>$/1000 lumen</t>
  </si>
  <si>
    <t>$/1000 cfm</t>
  </si>
  <si>
    <t>supplysector</t>
  </si>
  <si>
    <t>subsector</t>
  </si>
  <si>
    <t>technology</t>
  </si>
  <si>
    <t>comm heating</t>
  </si>
  <si>
    <t>comm cooling</t>
  </si>
  <si>
    <t>comm hot water</t>
  </si>
  <si>
    <t>comm ventilation</t>
  </si>
  <si>
    <t>comm cooking</t>
  </si>
  <si>
    <t>comm lighting</t>
  </si>
  <si>
    <t>comm refrigeration</t>
  </si>
  <si>
    <t>refrigeration</t>
  </si>
  <si>
    <t>refrigeration hi-eff</t>
  </si>
  <si>
    <t>comm office</t>
  </si>
  <si>
    <t>office equipment</t>
  </si>
  <si>
    <t>comm other</t>
  </si>
  <si>
    <t>comm non-building</t>
  </si>
  <si>
    <t>O&amp;M cost</t>
  </si>
  <si>
    <t>lb/kWh</t>
  </si>
  <si>
    <t>kWh/cycle</t>
  </si>
  <si>
    <t>cycles/kWh</t>
  </si>
  <si>
    <t>resid heating</t>
  </si>
  <si>
    <t>resid cooling</t>
  </si>
  <si>
    <t>resid hot water</t>
  </si>
  <si>
    <t>resid lighting</t>
  </si>
  <si>
    <t>resid clothes washers</t>
  </si>
  <si>
    <t>resid dishwashers</t>
  </si>
  <si>
    <t>resid freezers</t>
  </si>
  <si>
    <t>resid clothes dryers</t>
  </si>
  <si>
    <t>resid cooking</t>
  </si>
  <si>
    <t>resid refrigerators</t>
  </si>
  <si>
    <t>resid televisions</t>
  </si>
  <si>
    <t>resid computers</t>
  </si>
  <si>
    <t>resid furnace fans</t>
  </si>
  <si>
    <t>resid other</t>
  </si>
  <si>
    <t>Discount rate</t>
  </si>
  <si>
    <t>Lifetime</t>
  </si>
  <si>
    <t>From NEMS</t>
  </si>
  <si>
    <t>To GCAM</t>
  </si>
  <si>
    <t>Output unit</t>
  </si>
  <si>
    <t>GJ/unit/yr</t>
  </si>
  <si>
    <t>kg/unit/yr</t>
  </si>
  <si>
    <t>cycles/unit/yr</t>
  </si>
  <si>
    <t>assumed UEC (kwh/yr)</t>
  </si>
  <si>
    <t>from NEMS</t>
  </si>
  <si>
    <t>Per-unit info</t>
  </si>
  <si>
    <t>Output/yr</t>
  </si>
  <si>
    <t>1975$/GJ</t>
  </si>
  <si>
    <t>1975$/cycle</t>
  </si>
  <si>
    <t>mil lumen-hours/unit/yr</t>
  </si>
  <si>
    <t>1975$/mil lumen-hr</t>
  </si>
  <si>
    <t>base efficiency</t>
  </si>
  <si>
    <t>kg/GJ</t>
  </si>
  <si>
    <t>1975$/kg</t>
  </si>
  <si>
    <t>mil lumen-hours/GJ</t>
  </si>
  <si>
    <t>cycles/GJ</t>
  </si>
  <si>
    <t>biomass</t>
  </si>
  <si>
    <t>wood furnace</t>
  </si>
  <si>
    <t>coal</t>
  </si>
  <si>
    <t>coal furnace</t>
  </si>
  <si>
    <t>lookup</t>
  </si>
  <si>
    <t>gas oven</t>
  </si>
  <si>
    <t>gas oven hi-eff</t>
  </si>
  <si>
    <t>electric oven</t>
  </si>
  <si>
    <t>lpg oven</t>
  </si>
  <si>
    <t>lpg oven hi-eff</t>
  </si>
  <si>
    <t>$/1000 btu/hr</t>
  </si>
  <si>
    <t>Capacity factor</t>
  </si>
  <si>
    <t>minicam.energy.input</t>
  </si>
  <si>
    <t>delivered biomass</t>
  </si>
  <si>
    <t>delivered coal</t>
  </si>
  <si>
    <t>delivered gas</t>
  </si>
  <si>
    <t>elect_td_bld</t>
  </si>
  <si>
    <t>refined liquids enduse</t>
  </si>
  <si>
    <t>values that need to be converted</t>
  </si>
  <si>
    <t>million m3/GJ</t>
  </si>
  <si>
    <t>cfm-hours/btu</t>
  </si>
  <si>
    <t>Output</t>
  </si>
  <si>
    <t>mil lumen-hours/yr</t>
  </si>
  <si>
    <t>GJ/yr</t>
  </si>
  <si>
    <t>million m3/yr</t>
  </si>
  <si>
    <t># Building sector technology efficiencies</t>
  </si>
  <si>
    <t># Building sector technology costs</t>
  </si>
  <si>
    <t>conversion from 2017$ to 1975$</t>
  </si>
  <si>
    <t>conversion from 2015$ to 1975$</t>
  </si>
  <si>
    <t>conversion from 2018$ to 1975$</t>
  </si>
  <si>
    <t>2017$/unit</t>
  </si>
  <si>
    <t>AFUE</t>
  </si>
  <si>
    <t>COP</t>
  </si>
  <si>
    <t>UEF</t>
  </si>
  <si>
    <t>kWh/yr</t>
  </si>
  <si>
    <t>TEff</t>
  </si>
  <si>
    <t>CEF</t>
  </si>
  <si>
    <t>lm/W</t>
  </si>
  <si>
    <t>cycle/kWh</t>
  </si>
  <si>
    <t>Scout unit (no need to convert to match Page's table)</t>
  </si>
  <si>
    <t>heat pump water heater</t>
  </si>
  <si>
    <t>$2020USD</t>
  </si>
  <si>
    <t>$2017USD</t>
  </si>
  <si>
    <t>factor</t>
  </si>
  <si>
    <t>heat pump for space heating or cooling</t>
  </si>
  <si>
    <t>assuming half of the subsidy since GCAM only has electric heat pump for heating</t>
  </si>
  <si>
    <t>electri stove, cooktop range, or over or an electric heat pump clothes dryer.</t>
  </si>
  <si>
    <t>assuming equally split between electric oven and hi-eff dryer</t>
  </si>
  <si>
    <t>electric load service center</t>
  </si>
  <si>
    <t>NA</t>
  </si>
  <si>
    <t>insulation, air sealing, and ventilation</t>
  </si>
  <si>
    <t>assuming goes to hi-ef air conditioning</t>
  </si>
  <si>
    <t>electric wiring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</si>
</sst>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72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9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applyFill="1" applyBorder="1"/>
    <xf numFmtId="0" fontId="0" fillId="7" borderId="0" xfId="0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0" fillId="3" borderId="0" xfId="0" applyFill="1" applyBorder="1"/>
    <xf numFmtId="0" fontId="0" fillId="6" borderId="0" xfId="0" applyFill="1" applyBorder="1"/>
    <xf numFmtId="0" fontId="0" fillId="4" borderId="0" xfId="0" applyFill="1" applyBorder="1"/>
    <xf numFmtId="0" fontId="0" fillId="0" borderId="0" xfId="0" applyBorder="1"/>
    <xf numFmtId="0" fontId="0" fillId="5" borderId="0" xfId="0" applyFill="1" applyBorder="1"/>
    <xf numFmtId="0" fontId="3" fillId="2" borderId="6" xfId="0" applyFont="1" applyFill="1" applyBorder="1"/>
    <xf numFmtId="0" fontId="3" fillId="2" borderId="5" xfId="0" applyFont="1" applyFill="1" applyBorder="1"/>
    <xf numFmtId="0" fontId="0" fillId="3" borderId="7" xfId="0" applyFill="1" applyBorder="1"/>
    <xf numFmtId="0" fontId="0" fillId="6" borderId="7" xfId="0" applyFill="1" applyBorder="1"/>
    <xf numFmtId="0" fontId="0" fillId="7" borderId="7" xfId="0" applyFill="1" applyBorder="1"/>
    <xf numFmtId="0" fontId="0" fillId="4" borderId="7" xfId="0" applyFill="1" applyBorder="1"/>
    <xf numFmtId="0" fontId="0" fillId="5" borderId="7" xfId="0" applyFill="1" applyBorder="1"/>
    <xf numFmtId="0" fontId="0" fillId="8" borderId="7" xfId="0" applyFill="1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/>
    <xf numFmtId="0" fontId="3" fillId="2" borderId="10" xfId="0" applyFont="1" applyFill="1" applyBorder="1"/>
    <xf numFmtId="0" fontId="0" fillId="3" borderId="11" xfId="0" applyFill="1" applyBorder="1"/>
    <xf numFmtId="0" fontId="0" fillId="6" borderId="11" xfId="0" applyFill="1" applyBorder="1"/>
    <xf numFmtId="0" fontId="0" fillId="7" borderId="11" xfId="0" applyFill="1" applyBorder="1"/>
    <xf numFmtId="0" fontId="0" fillId="4" borderId="11" xfId="0" applyFill="1" applyBorder="1"/>
    <xf numFmtId="0" fontId="0" fillId="5" borderId="11" xfId="0" applyFill="1" applyBorder="1"/>
    <xf numFmtId="0" fontId="0" fillId="8" borderId="11" xfId="0" applyFill="1" applyBorder="1"/>
    <xf numFmtId="0" fontId="0" fillId="0" borderId="11" xfId="0" applyBorder="1" applyAlignment="1">
      <alignment vertical="center" wrapText="1"/>
    </xf>
    <xf numFmtId="0" fontId="0" fillId="0" borderId="1" xfId="0" applyFill="1" applyBorder="1"/>
    <xf numFmtId="0" fontId="0" fillId="0" borderId="1" xfId="0" applyBorder="1"/>
    <xf numFmtId="0" fontId="0" fillId="0" borderId="12" xfId="0" applyBorder="1" applyAlignment="1">
      <alignment vertical="center" wrapText="1"/>
    </xf>
    <xf numFmtId="0" fontId="0" fillId="0" borderId="2" xfId="0" applyBorder="1"/>
    <xf numFmtId="0" fontId="0" fillId="3" borderId="10" xfId="0" applyFill="1" applyBorder="1"/>
    <xf numFmtId="0" fontId="0" fillId="3" borderId="5" xfId="0" applyFill="1" applyBorder="1"/>
    <xf numFmtId="0" fontId="0" fillId="3" borderId="13" xfId="0" applyFill="1" applyBorder="1"/>
    <xf numFmtId="0" fontId="0" fillId="3" borderId="4" xfId="0" applyFill="1" applyBorder="1"/>
    <xf numFmtId="0" fontId="0" fillId="0" borderId="11" xfId="0" applyFill="1" applyBorder="1"/>
    <xf numFmtId="0" fontId="0" fillId="0" borderId="7" xfId="0" applyFill="1" applyBorder="1"/>
    <xf numFmtId="0" fontId="0" fillId="5" borderId="11" xfId="0" applyFont="1" applyFill="1" applyBorder="1"/>
    <xf numFmtId="0" fontId="0" fillId="5" borderId="7" xfId="0" applyFont="1" applyFill="1" applyBorder="1"/>
    <xf numFmtId="164" fontId="0" fillId="3" borderId="0" xfId="0" applyNumberFormat="1" applyFill="1" applyBorder="1"/>
    <xf numFmtId="164" fontId="0" fillId="3" borderId="1" xfId="0" applyNumberFormat="1" applyFill="1" applyBorder="1"/>
    <xf numFmtId="2" fontId="0" fillId="3" borderId="0" xfId="0" applyNumberFormat="1" applyFill="1" applyBorder="1"/>
    <xf numFmtId="2" fontId="0" fillId="3" borderId="1" xfId="0" applyNumberFormat="1" applyFill="1" applyBorder="1"/>
    <xf numFmtId="2" fontId="0" fillId="6" borderId="0" xfId="0" applyNumberFormat="1" applyFill="1" applyBorder="1"/>
    <xf numFmtId="2" fontId="0" fillId="6" borderId="1" xfId="0" applyNumberFormat="1" applyFill="1" applyBorder="1"/>
    <xf numFmtId="2" fontId="0" fillId="4" borderId="0" xfId="0" applyNumberFormat="1" applyFill="1" applyBorder="1"/>
    <xf numFmtId="2" fontId="0" fillId="4" borderId="1" xfId="0" applyNumberFormat="1" applyFill="1" applyBorder="1"/>
    <xf numFmtId="2" fontId="0" fillId="5" borderId="0" xfId="0" applyNumberFormat="1" applyFont="1" applyFill="1" applyBorder="1"/>
    <xf numFmtId="2" fontId="0" fillId="5" borderId="1" xfId="0" applyNumberFormat="1" applyFont="1" applyFill="1" applyBorder="1"/>
    <xf numFmtId="1" fontId="0" fillId="8" borderId="0" xfId="0" applyNumberFormat="1" applyFill="1" applyBorder="1"/>
    <xf numFmtId="1" fontId="0" fillId="8" borderId="1" xfId="0" applyNumberFormat="1" applyFill="1" applyBorder="1"/>
    <xf numFmtId="1" fontId="0" fillId="3" borderId="0" xfId="0" applyNumberFormat="1" applyFill="1" applyBorder="1"/>
    <xf numFmtId="1" fontId="0" fillId="3" borderId="1" xfId="0" applyNumberFormat="1" applyFill="1" applyBorder="1"/>
    <xf numFmtId="1" fontId="0" fillId="6" borderId="0" xfId="0" applyNumberFormat="1" applyFill="1" applyBorder="1"/>
    <xf numFmtId="1" fontId="0" fillId="6" borderId="1" xfId="0" applyNumberFormat="1" applyFill="1" applyBorder="1"/>
    <xf numFmtId="2" fontId="0" fillId="0" borderId="0" xfId="0" applyNumberFormat="1" applyFill="1" applyBorder="1"/>
    <xf numFmtId="164" fontId="0" fillId="0" borderId="0" xfId="0" applyNumberFormat="1"/>
    <xf numFmtId="0" fontId="0" fillId="5" borderId="0" xfId="0" applyFill="1"/>
    <xf numFmtId="164" fontId="0" fillId="5" borderId="0" xfId="0" applyNumberFormat="1" applyFill="1"/>
    <xf numFmtId="164" fontId="0" fillId="7" borderId="0" xfId="0" applyNumberFormat="1" applyFill="1"/>
    <xf numFmtId="2" fontId="0" fillId="0" borderId="0" xfId="0" applyNumberFormat="1" applyBorder="1"/>
    <xf numFmtId="0" fontId="8" fillId="0" borderId="0" xfId="0" applyFont="1"/>
    <xf numFmtId="0" fontId="0" fillId="0" borderId="0" xfId="0" applyFont="1" applyBorder="1"/>
    <xf numFmtId="0" fontId="0" fillId="0" borderId="0" xfId="0" applyFont="1"/>
    <xf numFmtId="0" fontId="0" fillId="5" borderId="0" xfId="0" applyNumberFormat="1" applyFill="1"/>
    <xf numFmtId="0" fontId="0" fillId="9" borderId="0" xfId="0" applyFill="1"/>
    <xf numFmtId="0" fontId="3" fillId="2" borderId="13" xfId="0" applyFont="1" applyFill="1" applyBorder="1"/>
    <xf numFmtId="0" fontId="0" fillId="10" borderId="11" xfId="0" applyFill="1" applyBorder="1"/>
    <xf numFmtId="0" fontId="0" fillId="10" borderId="7" xfId="0" applyFill="1" applyBorder="1"/>
    <xf numFmtId="0" fontId="0" fillId="10" borderId="0" xfId="0" applyFill="1"/>
    <xf numFmtId="0" fontId="0" fillId="10" borderId="5" xfId="0" applyFill="1" applyBorder="1"/>
    <xf numFmtId="2" fontId="0" fillId="10" borderId="0" xfId="0" applyNumberFormat="1" applyFill="1" applyBorder="1"/>
    <xf numFmtId="2" fontId="0" fillId="10" borderId="1" xfId="0" applyNumberFormat="1" applyFill="1" applyBorder="1"/>
    <xf numFmtId="0" fontId="0" fillId="0" borderId="10" xfId="0" applyFill="1" applyBorder="1"/>
    <xf numFmtId="0" fontId="0" fillId="0" borderId="5" xfId="0" applyFill="1" applyBorder="1"/>
    <xf numFmtId="0" fontId="0" fillId="0" borderId="0" xfId="0" applyFill="1"/>
    <xf numFmtId="2" fontId="0" fillId="0" borderId="13" xfId="0" applyNumberFormat="1" applyFill="1" applyBorder="1"/>
    <xf numFmtId="2" fontId="0" fillId="0" borderId="4" xfId="0" applyNumberFormat="1" applyFill="1" applyBorder="1"/>
    <xf numFmtId="2" fontId="0" fillId="0" borderId="1" xfId="0" applyNumberFormat="1" applyFill="1" applyBorder="1"/>
    <xf numFmtId="0" fontId="0" fillId="0" borderId="11" xfId="0" applyFont="1" applyFill="1" applyBorder="1"/>
    <xf numFmtId="0" fontId="0" fillId="0" borderId="7" xfId="0" applyFont="1" applyFill="1" applyBorder="1"/>
    <xf numFmtId="164" fontId="0" fillId="0" borderId="0" xfId="0" applyNumberFormat="1" applyFill="1" applyBorder="1"/>
    <xf numFmtId="164" fontId="0" fillId="0" borderId="1" xfId="0" applyNumberFormat="1" applyFill="1" applyBorder="1"/>
    <xf numFmtId="0" fontId="0" fillId="0" borderId="11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12" xfId="0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9" xfId="0" applyFill="1" applyBorder="1"/>
    <xf numFmtId="0" fontId="0" fillId="0" borderId="2" xfId="0" applyFill="1" applyBorder="1"/>
    <xf numFmtId="6" fontId="0" fillId="0" borderId="0" xfId="0" applyNumberFormat="1"/>
    <xf numFmtId="0" fontId="0" fillId="0" borderId="0" xfId="0" applyFill="1" applyBorder="1" applyAlignment="1">
      <alignment vertical="center" wrapText="1"/>
    </xf>
    <xf numFmtId="0" fontId="0" fillId="3" borderId="0" xfId="0" applyFill="1"/>
    <xf numFmtId="0" fontId="0" fillId="3" borderId="11" xfId="0" applyFont="1" applyFill="1" applyBorder="1"/>
    <xf numFmtId="0" fontId="0" fillId="3" borderId="7" xfId="0" applyFont="1" applyFill="1" applyBorder="1"/>
    <xf numFmtId="0" fontId="0" fillId="11" borderId="11" xfId="0" applyFill="1" applyBorder="1"/>
    <xf numFmtId="0" fontId="0" fillId="11" borderId="7" xfId="0" applyFill="1" applyBorder="1"/>
    <xf numFmtId="0" fontId="0" fillId="11" borderId="0" xfId="0" applyFill="1"/>
    <xf numFmtId="0" fontId="0" fillId="11" borderId="5" xfId="0" applyFill="1" applyBorder="1"/>
    <xf numFmtId="2" fontId="0" fillId="11" borderId="0" xfId="0" applyNumberFormat="1" applyFill="1" applyBorder="1"/>
    <xf numFmtId="2" fontId="0" fillId="11" borderId="1" xfId="0" applyNumberFormat="1" applyFill="1" applyBorder="1"/>
    <xf numFmtId="0" fontId="0" fillId="6" borderId="0" xfId="0" applyFill="1"/>
    <xf numFmtId="0" fontId="0" fillId="6" borderId="5" xfId="0" applyFill="1" applyBorder="1"/>
  </cellXfs>
  <cellStyles count="17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Followed Hyperlink" xfId="1531" builtinId="9" hidden="1"/>
    <cellStyle name="Followed Hyperlink" xfId="1533" builtinId="9" hidden="1"/>
    <cellStyle name="Followed Hyperlink" xfId="1535" builtinId="9" hidden="1"/>
    <cellStyle name="Followed Hyperlink" xfId="1537" builtinId="9" hidden="1"/>
    <cellStyle name="Followed Hyperlink" xfId="1539" builtinId="9" hidden="1"/>
    <cellStyle name="Followed Hyperlink" xfId="1541" builtinId="9" hidden="1"/>
    <cellStyle name="Followed Hyperlink" xfId="1543" builtinId="9" hidden="1"/>
    <cellStyle name="Followed Hyperlink" xfId="1545" builtinId="9" hidden="1"/>
    <cellStyle name="Followed Hyperlink" xfId="1547" builtinId="9" hidden="1"/>
    <cellStyle name="Followed Hyperlink" xfId="1549" builtinId="9" hidden="1"/>
    <cellStyle name="Followed Hyperlink" xfId="1551" builtinId="9" hidden="1"/>
    <cellStyle name="Followed Hyperlink" xfId="1553" builtinId="9" hidden="1"/>
    <cellStyle name="Followed Hyperlink" xfId="1555" builtinId="9" hidden="1"/>
    <cellStyle name="Followed Hyperlink" xfId="1557" builtinId="9" hidden="1"/>
    <cellStyle name="Followed Hyperlink" xfId="1559" builtinId="9" hidden="1"/>
    <cellStyle name="Followed Hyperlink" xfId="1561" builtinId="9" hidden="1"/>
    <cellStyle name="Followed Hyperlink" xfId="1563" builtinId="9" hidden="1"/>
    <cellStyle name="Followed Hyperlink" xfId="1565" builtinId="9" hidden="1"/>
    <cellStyle name="Followed Hyperlink" xfId="1567" builtinId="9" hidden="1"/>
    <cellStyle name="Followed Hyperlink" xfId="1569" builtinId="9" hidden="1"/>
    <cellStyle name="Followed Hyperlink" xfId="1571" builtinId="9" hidden="1"/>
    <cellStyle name="Followed Hyperlink" xfId="1573" builtinId="9" hidden="1"/>
    <cellStyle name="Followed Hyperlink" xfId="1575" builtinId="9" hidden="1"/>
    <cellStyle name="Followed Hyperlink" xfId="1577" builtinId="9" hidden="1"/>
    <cellStyle name="Followed Hyperlink" xfId="1579" builtinId="9" hidden="1"/>
    <cellStyle name="Followed Hyperlink" xfId="1581" builtinId="9" hidden="1"/>
    <cellStyle name="Followed Hyperlink" xfId="1583" builtinId="9" hidden="1"/>
    <cellStyle name="Followed Hyperlink" xfId="1585" builtinId="9" hidden="1"/>
    <cellStyle name="Followed Hyperlink" xfId="1587" builtinId="9" hidden="1"/>
    <cellStyle name="Followed Hyperlink" xfId="1589" builtinId="9" hidden="1"/>
    <cellStyle name="Followed Hyperlink" xfId="1591" builtinId="9" hidden="1"/>
    <cellStyle name="Followed Hyperlink" xfId="1593" builtinId="9" hidden="1"/>
    <cellStyle name="Followed Hyperlink" xfId="1595" builtinId="9" hidden="1"/>
    <cellStyle name="Followed Hyperlink" xfId="1597" builtinId="9" hidden="1"/>
    <cellStyle name="Followed Hyperlink" xfId="1599" builtinId="9" hidden="1"/>
    <cellStyle name="Followed Hyperlink" xfId="1601" builtinId="9" hidden="1"/>
    <cellStyle name="Followed Hyperlink" xfId="1603" builtinId="9" hidden="1"/>
    <cellStyle name="Followed Hyperlink" xfId="1605" builtinId="9" hidden="1"/>
    <cellStyle name="Followed Hyperlink" xfId="1607" builtinId="9" hidden="1"/>
    <cellStyle name="Followed Hyperlink" xfId="1609" builtinId="9" hidden="1"/>
    <cellStyle name="Followed Hyperlink" xfId="1611" builtinId="9" hidden="1"/>
    <cellStyle name="Followed Hyperlink" xfId="1613" builtinId="9" hidden="1"/>
    <cellStyle name="Followed Hyperlink" xfId="1615" builtinId="9" hidden="1"/>
    <cellStyle name="Followed Hyperlink" xfId="1617" builtinId="9" hidden="1"/>
    <cellStyle name="Followed Hyperlink" xfId="1619" builtinId="9" hidden="1"/>
    <cellStyle name="Followed Hyperlink" xfId="1621" builtinId="9" hidden="1"/>
    <cellStyle name="Followed Hyperlink" xfId="1623" builtinId="9" hidden="1"/>
    <cellStyle name="Followed Hyperlink" xfId="1625" builtinId="9" hidden="1"/>
    <cellStyle name="Followed Hyperlink" xfId="1627" builtinId="9" hidden="1"/>
    <cellStyle name="Followed Hyperlink" xfId="1629" builtinId="9" hidden="1"/>
    <cellStyle name="Followed Hyperlink" xfId="1631" builtinId="9" hidden="1"/>
    <cellStyle name="Followed Hyperlink" xfId="1633" builtinId="9" hidden="1"/>
    <cellStyle name="Followed Hyperlink" xfId="1635" builtinId="9" hidden="1"/>
    <cellStyle name="Followed Hyperlink" xfId="1637" builtinId="9" hidden="1"/>
    <cellStyle name="Followed Hyperlink" xfId="1639" builtinId="9" hidden="1"/>
    <cellStyle name="Followed Hyperlink" xfId="1641" builtinId="9" hidden="1"/>
    <cellStyle name="Followed Hyperlink" xfId="1643" builtinId="9" hidden="1"/>
    <cellStyle name="Followed Hyperlink" xfId="1645" builtinId="9" hidden="1"/>
    <cellStyle name="Followed Hyperlink" xfId="1647" builtinId="9" hidden="1"/>
    <cellStyle name="Followed Hyperlink" xfId="1649" builtinId="9" hidden="1"/>
    <cellStyle name="Followed Hyperlink" xfId="1651" builtinId="9" hidden="1"/>
    <cellStyle name="Followed Hyperlink" xfId="1653" builtinId="9" hidden="1"/>
    <cellStyle name="Followed Hyperlink" xfId="1655" builtinId="9" hidden="1"/>
    <cellStyle name="Followed Hyperlink" xfId="1657" builtinId="9" hidden="1"/>
    <cellStyle name="Followed Hyperlink" xfId="1659" builtinId="9" hidden="1"/>
    <cellStyle name="Followed Hyperlink" xfId="1661" builtinId="9" hidden="1"/>
    <cellStyle name="Followed Hyperlink" xfId="1663" builtinId="9" hidden="1"/>
    <cellStyle name="Followed Hyperlink" xfId="1665" builtinId="9" hidden="1"/>
    <cellStyle name="Followed Hyperlink" xfId="1667" builtinId="9" hidden="1"/>
    <cellStyle name="Followed Hyperlink" xfId="1669" builtinId="9" hidden="1"/>
    <cellStyle name="Followed Hyperlink" xfId="1671" builtinId="9" hidden="1"/>
    <cellStyle name="Followed Hyperlink" xfId="1673" builtinId="9" hidden="1"/>
    <cellStyle name="Followed Hyperlink" xfId="1675" builtinId="9" hidden="1"/>
    <cellStyle name="Followed Hyperlink" xfId="1677" builtinId="9" hidden="1"/>
    <cellStyle name="Followed Hyperlink" xfId="1679" builtinId="9" hidden="1"/>
    <cellStyle name="Followed Hyperlink" xfId="1681" builtinId="9" hidden="1"/>
    <cellStyle name="Followed Hyperlink" xfId="1683" builtinId="9" hidden="1"/>
    <cellStyle name="Followed Hyperlink" xfId="1685" builtinId="9" hidden="1"/>
    <cellStyle name="Followed Hyperlink" xfId="1687" builtinId="9" hidden="1"/>
    <cellStyle name="Followed Hyperlink" xfId="1689" builtinId="9" hidden="1"/>
    <cellStyle name="Followed Hyperlink" xfId="1691" builtinId="9" hidden="1"/>
    <cellStyle name="Followed Hyperlink" xfId="1693" builtinId="9" hidden="1"/>
    <cellStyle name="Followed Hyperlink" xfId="1695" builtinId="9" hidden="1"/>
    <cellStyle name="Followed Hyperlink" xfId="1697" builtinId="9" hidden="1"/>
    <cellStyle name="Followed Hyperlink" xfId="1699" builtinId="9" hidden="1"/>
    <cellStyle name="Followed Hyperlink" xfId="1701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Hyperlink" xfId="1530" builtinId="8" hidden="1"/>
    <cellStyle name="Hyperlink" xfId="1532" builtinId="8" hidden="1"/>
    <cellStyle name="Hyperlink" xfId="1534" builtinId="8" hidden="1"/>
    <cellStyle name="Hyperlink" xfId="1536" builtinId="8" hidden="1"/>
    <cellStyle name="Hyperlink" xfId="1538" builtinId="8" hidden="1"/>
    <cellStyle name="Hyperlink" xfId="1540" builtinId="8" hidden="1"/>
    <cellStyle name="Hyperlink" xfId="1542" builtinId="8" hidden="1"/>
    <cellStyle name="Hyperlink" xfId="1544" builtinId="8" hidden="1"/>
    <cellStyle name="Hyperlink" xfId="1546" builtinId="8" hidden="1"/>
    <cellStyle name="Hyperlink" xfId="1548" builtinId="8" hidden="1"/>
    <cellStyle name="Hyperlink" xfId="1550" builtinId="8" hidden="1"/>
    <cellStyle name="Hyperlink" xfId="1552" builtinId="8" hidden="1"/>
    <cellStyle name="Hyperlink" xfId="1554" builtinId="8" hidden="1"/>
    <cellStyle name="Hyperlink" xfId="1556" builtinId="8" hidden="1"/>
    <cellStyle name="Hyperlink" xfId="1558" builtinId="8" hidden="1"/>
    <cellStyle name="Hyperlink" xfId="1560" builtinId="8" hidden="1"/>
    <cellStyle name="Hyperlink" xfId="1562" builtinId="8" hidden="1"/>
    <cellStyle name="Hyperlink" xfId="1564" builtinId="8" hidden="1"/>
    <cellStyle name="Hyperlink" xfId="1566" builtinId="8" hidden="1"/>
    <cellStyle name="Hyperlink" xfId="1568" builtinId="8" hidden="1"/>
    <cellStyle name="Hyperlink" xfId="1570" builtinId="8" hidden="1"/>
    <cellStyle name="Hyperlink" xfId="1572" builtinId="8" hidden="1"/>
    <cellStyle name="Hyperlink" xfId="1574" builtinId="8" hidden="1"/>
    <cellStyle name="Hyperlink" xfId="1576" builtinId="8" hidden="1"/>
    <cellStyle name="Hyperlink" xfId="1578" builtinId="8" hidden="1"/>
    <cellStyle name="Hyperlink" xfId="1580" builtinId="8" hidden="1"/>
    <cellStyle name="Hyperlink" xfId="1582" builtinId="8" hidden="1"/>
    <cellStyle name="Hyperlink" xfId="1584" builtinId="8" hidden="1"/>
    <cellStyle name="Hyperlink" xfId="1586" builtinId="8" hidden="1"/>
    <cellStyle name="Hyperlink" xfId="1588" builtinId="8" hidden="1"/>
    <cellStyle name="Hyperlink" xfId="1590" builtinId="8" hidden="1"/>
    <cellStyle name="Hyperlink" xfId="1592" builtinId="8" hidden="1"/>
    <cellStyle name="Hyperlink" xfId="1594" builtinId="8" hidden="1"/>
    <cellStyle name="Hyperlink" xfId="1596" builtinId="8" hidden="1"/>
    <cellStyle name="Hyperlink" xfId="1598" builtinId="8" hidden="1"/>
    <cellStyle name="Hyperlink" xfId="1600" builtinId="8" hidden="1"/>
    <cellStyle name="Hyperlink" xfId="1602" builtinId="8" hidden="1"/>
    <cellStyle name="Hyperlink" xfId="1604" builtinId="8" hidden="1"/>
    <cellStyle name="Hyperlink" xfId="1606" builtinId="8" hidden="1"/>
    <cellStyle name="Hyperlink" xfId="1608" builtinId="8" hidden="1"/>
    <cellStyle name="Hyperlink" xfId="1610" builtinId="8" hidden="1"/>
    <cellStyle name="Hyperlink" xfId="1612" builtinId="8" hidden="1"/>
    <cellStyle name="Hyperlink" xfId="1614" builtinId="8" hidden="1"/>
    <cellStyle name="Hyperlink" xfId="1616" builtinId="8" hidden="1"/>
    <cellStyle name="Hyperlink" xfId="1618" builtinId="8" hidden="1"/>
    <cellStyle name="Hyperlink" xfId="1620" builtinId="8" hidden="1"/>
    <cellStyle name="Hyperlink" xfId="1622" builtinId="8" hidden="1"/>
    <cellStyle name="Hyperlink" xfId="1624" builtinId="8" hidden="1"/>
    <cellStyle name="Hyperlink" xfId="1626" builtinId="8" hidden="1"/>
    <cellStyle name="Hyperlink" xfId="1628" builtinId="8" hidden="1"/>
    <cellStyle name="Hyperlink" xfId="1630" builtinId="8" hidden="1"/>
    <cellStyle name="Hyperlink" xfId="1632" builtinId="8" hidden="1"/>
    <cellStyle name="Hyperlink" xfId="1634" builtinId="8" hidden="1"/>
    <cellStyle name="Hyperlink" xfId="1636" builtinId="8" hidden="1"/>
    <cellStyle name="Hyperlink" xfId="1638" builtinId="8" hidden="1"/>
    <cellStyle name="Hyperlink" xfId="1640" builtinId="8" hidden="1"/>
    <cellStyle name="Hyperlink" xfId="1642" builtinId="8" hidden="1"/>
    <cellStyle name="Hyperlink" xfId="1644" builtinId="8" hidden="1"/>
    <cellStyle name="Hyperlink" xfId="1646" builtinId="8" hidden="1"/>
    <cellStyle name="Hyperlink" xfId="1648" builtinId="8" hidden="1"/>
    <cellStyle name="Hyperlink" xfId="1650" builtinId="8" hidden="1"/>
    <cellStyle name="Hyperlink" xfId="1652" builtinId="8" hidden="1"/>
    <cellStyle name="Hyperlink" xfId="1654" builtinId="8" hidden="1"/>
    <cellStyle name="Hyperlink" xfId="1656" builtinId="8" hidden="1"/>
    <cellStyle name="Hyperlink" xfId="1658" builtinId="8" hidden="1"/>
    <cellStyle name="Hyperlink" xfId="1660" builtinId="8" hidden="1"/>
    <cellStyle name="Hyperlink" xfId="1662" builtinId="8" hidden="1"/>
    <cellStyle name="Hyperlink" xfId="1664" builtinId="8" hidden="1"/>
    <cellStyle name="Hyperlink" xfId="1666" builtinId="8" hidden="1"/>
    <cellStyle name="Hyperlink" xfId="1668" builtinId="8" hidden="1"/>
    <cellStyle name="Hyperlink" xfId="1670" builtinId="8" hidden="1"/>
    <cellStyle name="Hyperlink" xfId="1672" builtinId="8" hidden="1"/>
    <cellStyle name="Hyperlink" xfId="1674" builtinId="8" hidden="1"/>
    <cellStyle name="Hyperlink" xfId="1676" builtinId="8" hidden="1"/>
    <cellStyle name="Hyperlink" xfId="1678" builtinId="8" hidden="1"/>
    <cellStyle name="Hyperlink" xfId="1680" builtinId="8" hidden="1"/>
    <cellStyle name="Hyperlink" xfId="1682" builtinId="8" hidden="1"/>
    <cellStyle name="Hyperlink" xfId="1684" builtinId="8" hidden="1"/>
    <cellStyle name="Hyperlink" xfId="1686" builtinId="8" hidden="1"/>
    <cellStyle name="Hyperlink" xfId="1688" builtinId="8" hidden="1"/>
    <cellStyle name="Hyperlink" xfId="1690" builtinId="8" hidden="1"/>
    <cellStyle name="Hyperlink" xfId="1692" builtinId="8" hidden="1"/>
    <cellStyle name="Hyperlink" xfId="1694" builtinId="8" hidden="1"/>
    <cellStyle name="Hyperlink" xfId="1696" builtinId="8" hidden="1"/>
    <cellStyle name="Hyperlink" xfId="1698" builtinId="8" hidden="1"/>
    <cellStyle name="Hyperlink" xfId="1700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Normal" xfId="0" builtinId="0"/>
    <cellStyle name="Normal 2" xfId="1199" xr:uid="{00000000-0005-0000-0000-0000B7060000}"/>
    <cellStyle name="Normal 3" xfId="1702" xr:uid="{00000000-0005-0000-0000-0000B8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nnl-my.sharepoint.com/personal/ying_zhang_pnnl_gov/Documents/EERE_model_compare/data/Scout_input_AEO/outputs/mapping_v4/NEMS_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meqp_AT15_slim"/>
      <sheetName val="rsmlgt_AT15"/>
      <sheetName val="ktek_AT15_slim"/>
      <sheetName val="resequip_key"/>
      <sheetName val="QER_tab2"/>
      <sheetName val="QER_tab4"/>
      <sheetName val="QER_tab5"/>
      <sheetName val="QER_tab6"/>
      <sheetName val="QER_tab7"/>
      <sheetName val="QER_tab30"/>
      <sheetName val="QER_tab32"/>
      <sheetName val="QER_tab45"/>
    </sheetNames>
    <sheetDataSet>
      <sheetData sheetId="0" refreshError="1"/>
      <sheetData sheetId="1" refreshError="1">
        <row r="36">
          <cell r="C36">
            <v>0.33</v>
          </cell>
          <cell r="F36">
            <v>57</v>
          </cell>
        </row>
        <row r="38">
          <cell r="G38">
            <v>1000</v>
          </cell>
        </row>
        <row r="41">
          <cell r="G41">
            <v>10000</v>
          </cell>
        </row>
        <row r="50">
          <cell r="G50">
            <v>34020</v>
          </cell>
        </row>
      </sheetData>
      <sheetData sheetId="2" refreshError="1">
        <row r="97">
          <cell r="E97">
            <v>3.3</v>
          </cell>
          <cell r="G97">
            <v>1.4722222222222223</v>
          </cell>
          <cell r="J97">
            <v>15</v>
          </cell>
        </row>
        <row r="121">
          <cell r="G121">
            <v>0.01</v>
          </cell>
          <cell r="J121">
            <v>18</v>
          </cell>
        </row>
        <row r="123">
          <cell r="G123">
            <v>1.0319251854240568</v>
          </cell>
          <cell r="J123">
            <v>15</v>
          </cell>
        </row>
        <row r="124">
          <cell r="G124">
            <v>2.656383890317052</v>
          </cell>
          <cell r="J124">
            <v>15</v>
          </cell>
        </row>
        <row r="140">
          <cell r="G140">
            <v>0.16975308641975309</v>
          </cell>
          <cell r="J140">
            <v>30</v>
          </cell>
        </row>
        <row r="165">
          <cell r="G165">
            <v>4.916666666666667</v>
          </cell>
          <cell r="J165">
            <v>15</v>
          </cell>
        </row>
        <row r="180">
          <cell r="G180">
            <v>2.6666666666666665</v>
          </cell>
          <cell r="J180">
            <v>20</v>
          </cell>
        </row>
        <row r="183">
          <cell r="G183">
            <v>2.6666666666666665</v>
          </cell>
          <cell r="J183">
            <v>20</v>
          </cell>
        </row>
        <row r="245">
          <cell r="G245">
            <v>2.2857142857142856</v>
          </cell>
          <cell r="J245">
            <v>13</v>
          </cell>
        </row>
        <row r="251">
          <cell r="G251">
            <v>0.88611711455456221</v>
          </cell>
          <cell r="J251">
            <v>13</v>
          </cell>
        </row>
        <row r="252">
          <cell r="G252">
            <v>0.6875</v>
          </cell>
          <cell r="J252">
            <v>13</v>
          </cell>
        </row>
        <row r="253">
          <cell r="G253">
            <v>0.55555555555555558</v>
          </cell>
          <cell r="J253">
            <v>13</v>
          </cell>
        </row>
        <row r="256">
          <cell r="G256">
            <v>1.4466546112115732</v>
          </cell>
          <cell r="J256">
            <v>13</v>
          </cell>
        </row>
        <row r="260">
          <cell r="G260">
            <v>32.64580281988389</v>
          </cell>
          <cell r="J260">
            <v>20</v>
          </cell>
        </row>
        <row r="274">
          <cell r="G274">
            <v>18.937803824524028</v>
          </cell>
          <cell r="J274">
            <v>20</v>
          </cell>
        </row>
        <row r="282">
          <cell r="G282">
            <v>0.4277070160240386</v>
          </cell>
          <cell r="J282">
            <v>10</v>
          </cell>
        </row>
        <row r="283">
          <cell r="G283">
            <v>0.4277070160240386</v>
          </cell>
          <cell r="J283">
            <v>10</v>
          </cell>
        </row>
        <row r="284">
          <cell r="G284">
            <v>0.4277070160240386</v>
          </cell>
          <cell r="J284">
            <v>10</v>
          </cell>
        </row>
        <row r="285">
          <cell r="G285">
            <v>0.4277070160240386</v>
          </cell>
          <cell r="J285">
            <v>10</v>
          </cell>
        </row>
        <row r="298">
          <cell r="G298">
            <v>5.2356579575338422</v>
          </cell>
          <cell r="J298">
            <v>15</v>
          </cell>
        </row>
        <row r="349">
          <cell r="G349">
            <v>0.45965488856231362</v>
          </cell>
          <cell r="J349">
            <v>15</v>
          </cell>
        </row>
        <row r="355">
          <cell r="G355">
            <v>0.6189452323527489</v>
          </cell>
          <cell r="J355">
            <v>15</v>
          </cell>
        </row>
        <row r="411">
          <cell r="J411">
            <v>10</v>
          </cell>
        </row>
        <row r="452">
          <cell r="G452">
            <v>92.812127744424515</v>
          </cell>
        </row>
        <row r="453">
          <cell r="G453">
            <v>92.812127744424515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D77D-3578-5D48-AF62-A0425B734272}">
  <sheetPr>
    <tabColor theme="5"/>
  </sheetPr>
  <dimension ref="A1:AK51"/>
  <sheetViews>
    <sheetView tabSelected="1" topLeftCell="A7" zoomScaleNormal="100" workbookViewId="0">
      <selection activeCell="C44" sqref="C44"/>
    </sheetView>
  </sheetViews>
  <sheetFormatPr baseColWidth="10" defaultColWidth="8.83203125" defaultRowHeight="15" x14ac:dyDescent="0.2"/>
  <cols>
    <col min="1" max="1" width="59" bestFit="1" customWidth="1"/>
    <col min="2" max="2" width="14.1640625" bestFit="1" customWidth="1"/>
    <col min="3" max="3" width="30" bestFit="1" customWidth="1"/>
    <col min="4" max="13" width="6.6640625" customWidth="1"/>
    <col min="14" max="14" width="9.33203125" customWidth="1"/>
    <col min="18" max="18" width="10.6640625" bestFit="1" customWidth="1"/>
    <col min="19" max="19" width="19.33203125" bestFit="1" customWidth="1"/>
    <col min="30" max="30" width="14.5" bestFit="1" customWidth="1"/>
    <col min="31" max="31" width="48.83203125" bestFit="1" customWidth="1"/>
  </cols>
  <sheetData>
    <row r="1" spans="1:37" ht="16" thickBot="1" x14ac:dyDescent="0.25">
      <c r="D1" t="s">
        <v>86</v>
      </c>
      <c r="R1" t="s">
        <v>94</v>
      </c>
      <c r="T1" t="s">
        <v>87</v>
      </c>
      <c r="AE1">
        <v>0.27657890000000002</v>
      </c>
      <c r="AF1" t="s">
        <v>132</v>
      </c>
      <c r="AJ1">
        <v>0.2851052</v>
      </c>
      <c r="AK1" t="s">
        <v>133</v>
      </c>
    </row>
    <row r="2" spans="1:37" ht="14" customHeight="1" thickBot="1" x14ac:dyDescent="0.25">
      <c r="A2" s="26" t="s">
        <v>1</v>
      </c>
      <c r="B2" s="16" t="s">
        <v>2</v>
      </c>
      <c r="C2" s="16" t="s">
        <v>0</v>
      </c>
      <c r="D2" s="15">
        <v>2010</v>
      </c>
      <c r="E2" s="8">
        <v>2015</v>
      </c>
      <c r="F2" s="8">
        <v>2020</v>
      </c>
      <c r="G2" s="8">
        <v>2025</v>
      </c>
      <c r="H2" s="8">
        <v>2030</v>
      </c>
      <c r="I2" s="8">
        <v>2035</v>
      </c>
      <c r="J2" s="8">
        <v>2040</v>
      </c>
      <c r="K2" s="73">
        <v>2045</v>
      </c>
      <c r="L2" s="73">
        <v>2050</v>
      </c>
      <c r="M2" s="9">
        <v>2100</v>
      </c>
      <c r="N2" s="16" t="s">
        <v>34</v>
      </c>
      <c r="P2" t="s">
        <v>84</v>
      </c>
      <c r="Q2" t="s">
        <v>85</v>
      </c>
      <c r="R2" t="s">
        <v>95</v>
      </c>
      <c r="S2" t="s">
        <v>88</v>
      </c>
      <c r="T2" s="15">
        <v>2010</v>
      </c>
      <c r="U2" s="8">
        <v>2015</v>
      </c>
      <c r="V2" s="8">
        <v>2020</v>
      </c>
      <c r="W2" s="8">
        <v>2025</v>
      </c>
      <c r="X2" s="8">
        <v>2030</v>
      </c>
      <c r="Y2" s="8">
        <v>2035</v>
      </c>
      <c r="Z2" s="8">
        <v>2040</v>
      </c>
      <c r="AA2" s="73">
        <v>2045</v>
      </c>
      <c r="AB2" s="73">
        <v>2050</v>
      </c>
      <c r="AC2" s="9">
        <v>2100</v>
      </c>
      <c r="AD2" s="16" t="s">
        <v>34</v>
      </c>
      <c r="AE2" t="s">
        <v>109</v>
      </c>
      <c r="AJ2">
        <v>0.27012520000000001</v>
      </c>
      <c r="AK2" t="s">
        <v>134</v>
      </c>
    </row>
    <row r="3" spans="1:37" s="82" customFormat="1" ht="14" customHeight="1" thickBot="1" x14ac:dyDescent="0.25">
      <c r="A3" s="80" t="s">
        <v>70</v>
      </c>
      <c r="B3" s="81" t="s">
        <v>31</v>
      </c>
      <c r="C3" s="81" t="s">
        <v>15</v>
      </c>
      <c r="D3" s="82">
        <v>2497.4940396257698</v>
      </c>
      <c r="E3" s="82">
        <v>2497.4940396257698</v>
      </c>
      <c r="F3" s="82">
        <v>2497.4940396257698</v>
      </c>
      <c r="G3" s="82">
        <v>2497.4940396257698</v>
      </c>
      <c r="H3" s="82">
        <v>2497.4940396257698</v>
      </c>
      <c r="I3" s="82">
        <v>2497.4940396257698</v>
      </c>
      <c r="J3" s="82">
        <v>2497.4940396257698</v>
      </c>
      <c r="K3" s="82">
        <v>2497.4940396257698</v>
      </c>
      <c r="L3" s="82">
        <v>2497.4940396257698</v>
      </c>
      <c r="M3" s="82">
        <v>2497.4940396257698</v>
      </c>
      <c r="N3" s="81" t="s">
        <v>135</v>
      </c>
      <c r="P3" s="82">
        <v>0.15</v>
      </c>
      <c r="Q3" s="82">
        <v>18.399999999999999</v>
      </c>
      <c r="R3" s="82">
        <v>42</v>
      </c>
      <c r="S3" s="82" t="s">
        <v>89</v>
      </c>
      <c r="T3" s="83">
        <f>-PMT($P3,$Q3,D3)*$AE$1/$R3</f>
        <v>2.6710808958830743</v>
      </c>
      <c r="U3" s="83">
        <f t="shared" ref="U3:AC4" si="0">-PMT($P3,$Q3,E3)*$AE$1/$R3</f>
        <v>2.6710808958830743</v>
      </c>
      <c r="V3" s="83">
        <f t="shared" si="0"/>
        <v>2.6710808958830743</v>
      </c>
      <c r="W3" s="83">
        <f t="shared" si="0"/>
        <v>2.6710808958830743</v>
      </c>
      <c r="X3" s="83">
        <f t="shared" si="0"/>
        <v>2.6710808958830743</v>
      </c>
      <c r="Y3" s="83">
        <f t="shared" si="0"/>
        <v>2.6710808958830743</v>
      </c>
      <c r="Z3" s="83">
        <f t="shared" si="0"/>
        <v>2.6710808958830743</v>
      </c>
      <c r="AA3" s="83">
        <f t="shared" si="0"/>
        <v>2.6710808958830743</v>
      </c>
      <c r="AB3" s="83">
        <f t="shared" si="0"/>
        <v>2.6710808958830743</v>
      </c>
      <c r="AC3" s="84">
        <f t="shared" si="0"/>
        <v>2.6710808958830743</v>
      </c>
      <c r="AD3" s="81" t="s">
        <v>96</v>
      </c>
      <c r="AE3" s="62" t="str">
        <f>A3&amp;B3&amp;C3</f>
        <v>resid heatinggasgas furnace</v>
      </c>
    </row>
    <row r="4" spans="1:37" s="82" customFormat="1" ht="14" customHeight="1" thickBot="1" x14ac:dyDescent="0.25">
      <c r="A4" s="42" t="s">
        <v>70</v>
      </c>
      <c r="B4" s="43" t="s">
        <v>31</v>
      </c>
      <c r="C4" s="43" t="s">
        <v>16</v>
      </c>
      <c r="D4" s="82">
        <v>2668</v>
      </c>
      <c r="E4" s="82">
        <v>2668</v>
      </c>
      <c r="F4" s="82">
        <v>2668</v>
      </c>
      <c r="G4" s="82">
        <v>2668</v>
      </c>
      <c r="H4" s="82">
        <v>2668</v>
      </c>
      <c r="I4" s="82">
        <v>2668</v>
      </c>
      <c r="J4" s="82">
        <v>2668</v>
      </c>
      <c r="K4" s="82">
        <v>2668</v>
      </c>
      <c r="L4" s="82">
        <v>2668</v>
      </c>
      <c r="M4" s="82">
        <v>2668</v>
      </c>
      <c r="N4" s="81" t="s">
        <v>135</v>
      </c>
      <c r="P4" s="82">
        <v>0.15</v>
      </c>
      <c r="Q4" s="82">
        <v>18.399999999999999</v>
      </c>
      <c r="R4" s="82">
        <v>42</v>
      </c>
      <c r="S4" s="82" t="s">
        <v>89</v>
      </c>
      <c r="T4" s="62">
        <f t="shared" ref="T4" si="1">-PMT($P4,$Q4,D4)*$AE$1/$R4</f>
        <v>2.8534377728820863</v>
      </c>
      <c r="U4" s="62">
        <f t="shared" si="0"/>
        <v>2.8534377728820863</v>
      </c>
      <c r="V4" s="62">
        <f t="shared" si="0"/>
        <v>2.8534377728820863</v>
      </c>
      <c r="W4" s="62">
        <f t="shared" si="0"/>
        <v>2.8534377728820863</v>
      </c>
      <c r="X4" s="62">
        <f t="shared" si="0"/>
        <v>2.8534377728820863</v>
      </c>
      <c r="Y4" s="62">
        <f t="shared" si="0"/>
        <v>2.8534377728820863</v>
      </c>
      <c r="Z4" s="62">
        <f t="shared" si="0"/>
        <v>2.8534377728820863</v>
      </c>
      <c r="AA4" s="62">
        <f t="shared" si="0"/>
        <v>2.8534377728820863</v>
      </c>
      <c r="AB4" s="62">
        <f t="shared" si="0"/>
        <v>2.8534377728820863</v>
      </c>
      <c r="AC4" s="85">
        <f t="shared" si="0"/>
        <v>2.8534377728820863</v>
      </c>
      <c r="AD4" s="43" t="s">
        <v>96</v>
      </c>
      <c r="AE4" s="62" t="str">
        <f t="shared" ref="AE4" si="2">A4&amp;B4&amp;C4</f>
        <v>resid heatinggasgas furnace hi-eff</v>
      </c>
    </row>
    <row r="5" spans="1:37" s="82" customFormat="1" ht="14" customHeight="1" thickBot="1" x14ac:dyDescent="0.25">
      <c r="A5" s="43" t="s">
        <v>70</v>
      </c>
      <c r="B5" s="43" t="s">
        <v>7</v>
      </c>
      <c r="C5" s="43" t="s">
        <v>17</v>
      </c>
      <c r="D5" s="82">
        <v>1100</v>
      </c>
      <c r="E5" s="82">
        <v>1100</v>
      </c>
      <c r="F5" s="82">
        <v>1100</v>
      </c>
      <c r="G5" s="82">
        <v>1100</v>
      </c>
      <c r="H5" s="82">
        <v>1100</v>
      </c>
      <c r="I5" s="82">
        <v>1100</v>
      </c>
      <c r="J5" s="82">
        <v>1100</v>
      </c>
      <c r="K5" s="82">
        <v>1100</v>
      </c>
      <c r="L5" s="82">
        <v>1100</v>
      </c>
      <c r="M5" s="82">
        <v>1100</v>
      </c>
      <c r="N5" s="81" t="s">
        <v>135</v>
      </c>
      <c r="P5" s="82">
        <v>0.15</v>
      </c>
      <c r="Q5" s="82">
        <v>18.399999999999999</v>
      </c>
      <c r="R5" s="82">
        <v>42</v>
      </c>
      <c r="S5" s="82" t="s">
        <v>89</v>
      </c>
      <c r="T5" s="62">
        <f t="shared" ref="T5:T35" si="3">-PMT($P5,$Q5,D5)*$AE$1/$R5</f>
        <v>1.1764548538869175</v>
      </c>
      <c r="U5" s="62">
        <f t="shared" ref="U5:U35" si="4">-PMT($P5,$Q5,E5)*$AE$1/$R5</f>
        <v>1.1764548538869175</v>
      </c>
      <c r="V5" s="62">
        <f t="shared" ref="V5:V35" si="5">-PMT($P5,$Q5,F5)*$AE$1/$R5</f>
        <v>1.1764548538869175</v>
      </c>
      <c r="W5" s="62">
        <f t="shared" ref="W5:W35" si="6">-PMT($P5,$Q5,G5)*$AE$1/$R5</f>
        <v>1.1764548538869175</v>
      </c>
      <c r="X5" s="62">
        <f t="shared" ref="X5:X35" si="7">-PMT($P5,$Q5,H5)*$AE$1/$R5</f>
        <v>1.1764548538869175</v>
      </c>
      <c r="Y5" s="62">
        <f t="shared" ref="Y5:Y35" si="8">-PMT($P5,$Q5,I5)*$AE$1/$R5</f>
        <v>1.1764548538869175</v>
      </c>
      <c r="Z5" s="62">
        <f t="shared" ref="Z5:Z35" si="9">-PMT($P5,$Q5,J5)*$AE$1/$R5</f>
        <v>1.1764548538869175</v>
      </c>
      <c r="AA5" s="62">
        <f t="shared" ref="AA5:AA35" si="10">-PMT($P5,$Q5,K5)*$AE$1/$R5</f>
        <v>1.1764548538869175</v>
      </c>
      <c r="AB5" s="62">
        <f t="shared" ref="AB5:AB35" si="11">-PMT($P5,$Q5,L5)*$AE$1/$R5</f>
        <v>1.1764548538869175</v>
      </c>
      <c r="AC5" s="85">
        <f t="shared" ref="AC5:AC35" si="12">-PMT($P5,$Q5,M5)*$AE$1/$R5</f>
        <v>1.1764548538869175</v>
      </c>
      <c r="AD5" s="43" t="s">
        <v>96</v>
      </c>
      <c r="AE5" s="62" t="str">
        <f t="shared" ref="AE5:AE35" si="13">A5&amp;B5&amp;C5</f>
        <v>resid heatingelectricityelectric furnace</v>
      </c>
    </row>
    <row r="6" spans="1:37" s="76" customFormat="1" ht="14" customHeight="1" thickBot="1" x14ac:dyDescent="0.25">
      <c r="A6" s="74" t="s">
        <v>70</v>
      </c>
      <c r="B6" s="75" t="s">
        <v>7</v>
      </c>
      <c r="C6" s="75" t="s">
        <v>18</v>
      </c>
      <c r="D6" s="76">
        <f>$C47</f>
        <v>3659.2066834204979</v>
      </c>
      <c r="E6" s="76">
        <f t="shared" ref="E6:M6" si="14">$C47</f>
        <v>3659.2066834204979</v>
      </c>
      <c r="F6" s="76">
        <f t="shared" si="14"/>
        <v>3659.2066834204979</v>
      </c>
      <c r="G6" s="76">
        <f t="shared" si="14"/>
        <v>3659.2066834204979</v>
      </c>
      <c r="H6" s="76">
        <f t="shared" si="14"/>
        <v>3659.2066834204979</v>
      </c>
      <c r="I6" s="76">
        <f t="shared" si="14"/>
        <v>3659.2066834204979</v>
      </c>
      <c r="J6" s="76">
        <f t="shared" si="14"/>
        <v>3659.2066834204979</v>
      </c>
      <c r="K6" s="76">
        <f t="shared" si="14"/>
        <v>3659.2066834204979</v>
      </c>
      <c r="L6" s="76">
        <f t="shared" si="14"/>
        <v>3659.2066834204979</v>
      </c>
      <c r="M6" s="76">
        <f t="shared" si="14"/>
        <v>3659.2066834204979</v>
      </c>
      <c r="N6" s="77" t="s">
        <v>135</v>
      </c>
      <c r="P6" s="76">
        <v>0.15</v>
      </c>
      <c r="Q6" s="76">
        <v>18.399999999999999</v>
      </c>
      <c r="R6" s="76">
        <v>42</v>
      </c>
      <c r="S6" s="76" t="s">
        <v>89</v>
      </c>
      <c r="T6" s="78">
        <f t="shared" si="3"/>
        <v>3.9135376946231757</v>
      </c>
      <c r="U6" s="78">
        <f t="shared" si="4"/>
        <v>3.9135376946231757</v>
      </c>
      <c r="V6" s="78">
        <f t="shared" si="5"/>
        <v>3.9135376946231757</v>
      </c>
      <c r="W6" s="78">
        <f t="shared" si="6"/>
        <v>3.9135376946231757</v>
      </c>
      <c r="X6" s="78">
        <f t="shared" si="7"/>
        <v>3.9135376946231757</v>
      </c>
      <c r="Y6" s="78">
        <f t="shared" si="8"/>
        <v>3.9135376946231757</v>
      </c>
      <c r="Z6" s="78">
        <f t="shared" si="9"/>
        <v>3.9135376946231757</v>
      </c>
      <c r="AA6" s="78">
        <f t="shared" si="10"/>
        <v>3.9135376946231757</v>
      </c>
      <c r="AB6" s="78">
        <f t="shared" si="11"/>
        <v>3.9135376946231757</v>
      </c>
      <c r="AC6" s="79">
        <f t="shared" si="12"/>
        <v>3.9135376946231757</v>
      </c>
      <c r="AD6" s="75" t="s">
        <v>96</v>
      </c>
      <c r="AE6" s="78" t="str">
        <f t="shared" si="13"/>
        <v>resid heatingelectricityelectric heat pump</v>
      </c>
    </row>
    <row r="7" spans="1:37" s="82" customFormat="1" ht="14" customHeight="1" thickBot="1" x14ac:dyDescent="0.25">
      <c r="A7" s="42" t="s">
        <v>70</v>
      </c>
      <c r="B7" s="43" t="s">
        <v>8</v>
      </c>
      <c r="C7" s="43" t="s">
        <v>19</v>
      </c>
      <c r="D7" s="82">
        <v>4225</v>
      </c>
      <c r="E7" s="82">
        <v>4225</v>
      </c>
      <c r="F7" s="82">
        <v>4225</v>
      </c>
      <c r="G7" s="82">
        <v>4225</v>
      </c>
      <c r="H7" s="82">
        <v>4225</v>
      </c>
      <c r="I7" s="82">
        <v>4225</v>
      </c>
      <c r="J7" s="82">
        <v>4225</v>
      </c>
      <c r="K7" s="82">
        <v>4225</v>
      </c>
      <c r="L7" s="82">
        <v>4225</v>
      </c>
      <c r="M7" s="82">
        <v>4225</v>
      </c>
      <c r="N7" s="81" t="s">
        <v>135</v>
      </c>
      <c r="P7" s="82">
        <v>0.15</v>
      </c>
      <c r="Q7" s="82">
        <v>18.399999999999999</v>
      </c>
      <c r="R7" s="82">
        <v>42</v>
      </c>
      <c r="S7" s="82" t="s">
        <v>89</v>
      </c>
      <c r="T7" s="62">
        <f t="shared" si="3"/>
        <v>4.5186561433383865</v>
      </c>
      <c r="U7" s="62">
        <f t="shared" si="4"/>
        <v>4.5186561433383865</v>
      </c>
      <c r="V7" s="62">
        <f t="shared" si="5"/>
        <v>4.5186561433383865</v>
      </c>
      <c r="W7" s="62">
        <f t="shared" si="6"/>
        <v>4.5186561433383865</v>
      </c>
      <c r="X7" s="62">
        <f t="shared" si="7"/>
        <v>4.5186561433383865</v>
      </c>
      <c r="Y7" s="62">
        <f t="shared" si="8"/>
        <v>4.5186561433383865</v>
      </c>
      <c r="Z7" s="62">
        <f t="shared" si="9"/>
        <v>4.5186561433383865</v>
      </c>
      <c r="AA7" s="62">
        <f t="shared" si="10"/>
        <v>4.5186561433383865</v>
      </c>
      <c r="AB7" s="62">
        <f t="shared" si="11"/>
        <v>4.5186561433383865</v>
      </c>
      <c r="AC7" s="85">
        <f t="shared" si="12"/>
        <v>4.5186561433383865</v>
      </c>
      <c r="AD7" s="43" t="s">
        <v>96</v>
      </c>
      <c r="AE7" s="62" t="str">
        <f t="shared" si="13"/>
        <v>resid heatingrefined liquidsfuel furnace</v>
      </c>
    </row>
    <row r="8" spans="1:37" s="82" customFormat="1" ht="14" customHeight="1" thickBot="1" x14ac:dyDescent="0.25">
      <c r="A8" s="42" t="s">
        <v>70</v>
      </c>
      <c r="B8" s="43" t="s">
        <v>8</v>
      </c>
      <c r="C8" s="43" t="s">
        <v>20</v>
      </c>
      <c r="D8" s="82">
        <v>4350</v>
      </c>
      <c r="E8" s="82">
        <v>4350</v>
      </c>
      <c r="F8" s="82">
        <v>4350</v>
      </c>
      <c r="G8" s="82">
        <v>4350</v>
      </c>
      <c r="H8" s="82">
        <v>4350</v>
      </c>
      <c r="I8" s="82">
        <v>4350</v>
      </c>
      <c r="J8" s="82">
        <v>4350</v>
      </c>
      <c r="K8" s="82">
        <v>4350</v>
      </c>
      <c r="L8" s="82">
        <v>4350</v>
      </c>
      <c r="M8" s="82">
        <v>4350</v>
      </c>
      <c r="N8" s="81" t="s">
        <v>135</v>
      </c>
      <c r="P8" s="82">
        <v>0.15</v>
      </c>
      <c r="Q8" s="82">
        <v>18.399999999999999</v>
      </c>
      <c r="R8" s="82">
        <v>42</v>
      </c>
      <c r="S8" s="82" t="s">
        <v>89</v>
      </c>
      <c r="T8" s="62">
        <f t="shared" si="3"/>
        <v>4.6523441949164459</v>
      </c>
      <c r="U8" s="62">
        <f t="shared" si="4"/>
        <v>4.6523441949164459</v>
      </c>
      <c r="V8" s="62">
        <f t="shared" si="5"/>
        <v>4.6523441949164459</v>
      </c>
      <c r="W8" s="62">
        <f t="shared" si="6"/>
        <v>4.6523441949164459</v>
      </c>
      <c r="X8" s="62">
        <f t="shared" si="7"/>
        <v>4.6523441949164459</v>
      </c>
      <c r="Y8" s="62">
        <f t="shared" si="8"/>
        <v>4.6523441949164459</v>
      </c>
      <c r="Z8" s="62">
        <f t="shared" si="9"/>
        <v>4.6523441949164459</v>
      </c>
      <c r="AA8" s="62">
        <f t="shared" si="10"/>
        <v>4.6523441949164459</v>
      </c>
      <c r="AB8" s="62">
        <f t="shared" si="11"/>
        <v>4.6523441949164459</v>
      </c>
      <c r="AC8" s="85">
        <f t="shared" si="12"/>
        <v>4.6523441949164459</v>
      </c>
      <c r="AD8" s="43" t="s">
        <v>96</v>
      </c>
      <c r="AE8" s="62" t="str">
        <f t="shared" si="13"/>
        <v>resid heatingrefined liquidsfuel furnace hi-eff</v>
      </c>
    </row>
    <row r="9" spans="1:37" s="82" customFormat="1" ht="14" customHeight="1" thickBot="1" x14ac:dyDescent="0.25">
      <c r="A9" s="42" t="s">
        <v>71</v>
      </c>
      <c r="B9" s="43" t="s">
        <v>7</v>
      </c>
      <c r="C9" s="43" t="s">
        <v>9</v>
      </c>
      <c r="D9" s="82">
        <v>3680.27682182636</v>
      </c>
      <c r="E9" s="82">
        <v>3680.27682182636</v>
      </c>
      <c r="F9" s="82">
        <v>3680.27682182636</v>
      </c>
      <c r="G9" s="82">
        <v>3942.2145746108599</v>
      </c>
      <c r="H9" s="82">
        <v>3942.2145746108599</v>
      </c>
      <c r="I9" s="82">
        <v>3942.2145746108599</v>
      </c>
      <c r="J9" s="82">
        <v>3942.2145746108599</v>
      </c>
      <c r="K9" s="82">
        <v>3942.2145746108599</v>
      </c>
      <c r="L9" s="82">
        <v>3942.2145746108599</v>
      </c>
      <c r="M9" s="82">
        <v>3942.2145746108599</v>
      </c>
      <c r="N9" s="81" t="s">
        <v>135</v>
      </c>
      <c r="P9" s="82">
        <v>0.15</v>
      </c>
      <c r="Q9" s="82">
        <v>18.399999999999999</v>
      </c>
      <c r="R9" s="82">
        <v>19</v>
      </c>
      <c r="S9" s="82" t="s">
        <v>89</v>
      </c>
      <c r="T9" s="62">
        <f t="shared" si="3"/>
        <v>8.7007914013768328</v>
      </c>
      <c r="U9" s="62">
        <f t="shared" si="4"/>
        <v>8.7007914013768328</v>
      </c>
      <c r="V9" s="62">
        <f t="shared" si="5"/>
        <v>8.7007914013768328</v>
      </c>
      <c r="W9" s="62">
        <f t="shared" si="6"/>
        <v>9.3200561625510616</v>
      </c>
      <c r="X9" s="62">
        <f t="shared" si="7"/>
        <v>9.3200561625510616</v>
      </c>
      <c r="Y9" s="62">
        <f t="shared" si="8"/>
        <v>9.3200561625510616</v>
      </c>
      <c r="Z9" s="62">
        <f t="shared" si="9"/>
        <v>9.3200561625510616</v>
      </c>
      <c r="AA9" s="62">
        <f t="shared" si="10"/>
        <v>9.3200561625510616</v>
      </c>
      <c r="AB9" s="62">
        <f t="shared" si="11"/>
        <v>9.3200561625510616</v>
      </c>
      <c r="AC9" s="85">
        <f t="shared" si="12"/>
        <v>9.3200561625510616</v>
      </c>
      <c r="AD9" s="43" t="s">
        <v>96</v>
      </c>
      <c r="AE9" s="62" t="str">
        <f t="shared" si="13"/>
        <v>resid coolingelectricityair conditioning</v>
      </c>
    </row>
    <row r="10" spans="1:37" s="103" customFormat="1" ht="14" customHeight="1" thickBot="1" x14ac:dyDescent="0.25">
      <c r="A10" s="101" t="s">
        <v>71</v>
      </c>
      <c r="B10" s="102" t="s">
        <v>7</v>
      </c>
      <c r="C10" s="102" t="s">
        <v>10</v>
      </c>
      <c r="D10" s="103">
        <f>$C50</f>
        <v>1463.6826733681992</v>
      </c>
      <c r="E10" s="103">
        <f t="shared" ref="E10:M10" si="15">$C50</f>
        <v>1463.6826733681992</v>
      </c>
      <c r="F10" s="103">
        <f t="shared" si="15"/>
        <v>1463.6826733681992</v>
      </c>
      <c r="G10" s="103">
        <f t="shared" si="15"/>
        <v>1463.6826733681992</v>
      </c>
      <c r="H10" s="103">
        <f t="shared" si="15"/>
        <v>1463.6826733681992</v>
      </c>
      <c r="I10" s="103">
        <f t="shared" si="15"/>
        <v>1463.6826733681992</v>
      </c>
      <c r="J10" s="103">
        <f t="shared" si="15"/>
        <v>1463.6826733681992</v>
      </c>
      <c r="K10" s="103">
        <f t="shared" si="15"/>
        <v>1463.6826733681992</v>
      </c>
      <c r="L10" s="103">
        <f t="shared" si="15"/>
        <v>1463.6826733681992</v>
      </c>
      <c r="M10" s="103">
        <f t="shared" si="15"/>
        <v>1463.6826733681992</v>
      </c>
      <c r="N10" s="104" t="s">
        <v>135</v>
      </c>
      <c r="P10" s="103">
        <v>0.15</v>
      </c>
      <c r="Q10" s="103">
        <v>18.399999999999999</v>
      </c>
      <c r="R10" s="103">
        <v>19</v>
      </c>
      <c r="S10" s="103" t="s">
        <v>89</v>
      </c>
      <c r="T10" s="105">
        <f t="shared" si="3"/>
        <v>3.4603912247194399</v>
      </c>
      <c r="U10" s="105">
        <f t="shared" si="4"/>
        <v>3.4603912247194399</v>
      </c>
      <c r="V10" s="105">
        <f t="shared" si="5"/>
        <v>3.4603912247194399</v>
      </c>
      <c r="W10" s="105">
        <f t="shared" si="6"/>
        <v>3.4603912247194399</v>
      </c>
      <c r="X10" s="105">
        <f t="shared" si="7"/>
        <v>3.4603912247194399</v>
      </c>
      <c r="Y10" s="105">
        <f t="shared" si="8"/>
        <v>3.4603912247194399</v>
      </c>
      <c r="Z10" s="105">
        <f t="shared" si="9"/>
        <v>3.4603912247194399</v>
      </c>
      <c r="AA10" s="105">
        <f t="shared" si="10"/>
        <v>3.4603912247194399</v>
      </c>
      <c r="AB10" s="105">
        <f t="shared" si="11"/>
        <v>3.4603912247194399</v>
      </c>
      <c r="AC10" s="106">
        <f t="shared" si="12"/>
        <v>3.4603912247194399</v>
      </c>
      <c r="AD10" s="102" t="s">
        <v>96</v>
      </c>
      <c r="AE10" s="105" t="str">
        <f t="shared" si="13"/>
        <v>resid coolingelectricityair conditioning hi-eff</v>
      </c>
    </row>
    <row r="11" spans="1:37" s="82" customFormat="1" ht="14" customHeight="1" thickBot="1" x14ac:dyDescent="0.25">
      <c r="A11" s="42" t="s">
        <v>72</v>
      </c>
      <c r="B11" s="43" t="s">
        <v>31</v>
      </c>
      <c r="C11" s="43" t="s">
        <v>21</v>
      </c>
      <c r="D11" s="82">
        <v>1925</v>
      </c>
      <c r="E11" s="82">
        <v>1925</v>
      </c>
      <c r="F11" s="82">
        <v>1925</v>
      </c>
      <c r="G11" s="82">
        <v>1925</v>
      </c>
      <c r="H11" s="82">
        <v>1925</v>
      </c>
      <c r="I11" s="82">
        <v>1925</v>
      </c>
      <c r="J11" s="82">
        <v>1925</v>
      </c>
      <c r="K11" s="82">
        <v>1925</v>
      </c>
      <c r="L11" s="82">
        <v>1925</v>
      </c>
      <c r="M11" s="82">
        <v>1925</v>
      </c>
      <c r="N11" s="81" t="s">
        <v>135</v>
      </c>
      <c r="P11" s="82">
        <v>0.25</v>
      </c>
      <c r="Q11" s="82">
        <v>9</v>
      </c>
      <c r="R11" s="82">
        <v>9</v>
      </c>
      <c r="S11" s="82" t="s">
        <v>89</v>
      </c>
      <c r="T11" s="62">
        <f t="shared" si="3"/>
        <v>17.081994955398876</v>
      </c>
      <c r="U11" s="62">
        <f t="shared" si="4"/>
        <v>17.081994955398876</v>
      </c>
      <c r="V11" s="62">
        <f t="shared" si="5"/>
        <v>17.081994955398876</v>
      </c>
      <c r="W11" s="62">
        <f t="shared" si="6"/>
        <v>17.081994955398876</v>
      </c>
      <c r="X11" s="62">
        <f t="shared" si="7"/>
        <v>17.081994955398876</v>
      </c>
      <c r="Y11" s="62">
        <f t="shared" si="8"/>
        <v>17.081994955398876</v>
      </c>
      <c r="Z11" s="62">
        <f t="shared" si="9"/>
        <v>17.081994955398876</v>
      </c>
      <c r="AA11" s="62">
        <f t="shared" si="10"/>
        <v>17.081994955398876</v>
      </c>
      <c r="AB11" s="62">
        <f t="shared" si="11"/>
        <v>17.081994955398876</v>
      </c>
      <c r="AC11" s="85">
        <f t="shared" si="12"/>
        <v>17.081994955398876</v>
      </c>
      <c r="AD11" s="43" t="s">
        <v>96</v>
      </c>
      <c r="AE11" s="62" t="str">
        <f t="shared" si="13"/>
        <v>resid hot watergasgas water heater</v>
      </c>
    </row>
    <row r="12" spans="1:37" s="82" customFormat="1" ht="14" customHeight="1" thickBot="1" x14ac:dyDescent="0.25">
      <c r="A12" s="42" t="s">
        <v>72</v>
      </c>
      <c r="B12" s="43" t="s">
        <v>31</v>
      </c>
      <c r="C12" s="43" t="s">
        <v>22</v>
      </c>
      <c r="D12" s="82">
        <v>2025</v>
      </c>
      <c r="E12" s="82">
        <v>2025</v>
      </c>
      <c r="F12" s="82">
        <v>2025</v>
      </c>
      <c r="G12" s="82">
        <v>2025</v>
      </c>
      <c r="H12" s="82">
        <v>2025</v>
      </c>
      <c r="I12" s="82">
        <v>2025</v>
      </c>
      <c r="J12" s="82">
        <v>2025</v>
      </c>
      <c r="K12" s="82">
        <v>2025</v>
      </c>
      <c r="L12" s="82">
        <v>2025</v>
      </c>
      <c r="M12" s="82">
        <v>2025</v>
      </c>
      <c r="N12" s="81" t="s">
        <v>135</v>
      </c>
      <c r="P12" s="82">
        <v>0.25</v>
      </c>
      <c r="Q12" s="82">
        <v>9</v>
      </c>
      <c r="R12" s="82">
        <v>9</v>
      </c>
      <c r="S12" s="82" t="s">
        <v>89</v>
      </c>
      <c r="T12" s="62">
        <f t="shared" si="3"/>
        <v>17.969371316718295</v>
      </c>
      <c r="U12" s="62">
        <f t="shared" si="4"/>
        <v>17.969371316718295</v>
      </c>
      <c r="V12" s="62">
        <f t="shared" si="5"/>
        <v>17.969371316718295</v>
      </c>
      <c r="W12" s="62">
        <f t="shared" si="6"/>
        <v>17.969371316718295</v>
      </c>
      <c r="X12" s="62">
        <f t="shared" si="7"/>
        <v>17.969371316718295</v>
      </c>
      <c r="Y12" s="62">
        <f t="shared" si="8"/>
        <v>17.969371316718295</v>
      </c>
      <c r="Z12" s="62">
        <f t="shared" si="9"/>
        <v>17.969371316718295</v>
      </c>
      <c r="AA12" s="62">
        <f t="shared" si="10"/>
        <v>17.969371316718295</v>
      </c>
      <c r="AB12" s="62">
        <f t="shared" si="11"/>
        <v>17.969371316718295</v>
      </c>
      <c r="AC12" s="85">
        <f t="shared" si="12"/>
        <v>17.969371316718295</v>
      </c>
      <c r="AD12" s="43" t="s">
        <v>96</v>
      </c>
      <c r="AE12" s="62" t="str">
        <f t="shared" si="13"/>
        <v>resid hot watergasgas water heater hi-eff</v>
      </c>
    </row>
    <row r="13" spans="1:37" s="107" customFormat="1" ht="14" customHeight="1" thickBot="1" x14ac:dyDescent="0.25">
      <c r="A13" s="28" t="s">
        <v>72</v>
      </c>
      <c r="B13" s="18" t="s">
        <v>7</v>
      </c>
      <c r="C13" s="18" t="s">
        <v>23</v>
      </c>
      <c r="D13" s="107">
        <f>$C46</f>
        <v>1600.902923996468</v>
      </c>
      <c r="E13" s="107">
        <f t="shared" ref="E13:M13" si="16">$C46</f>
        <v>1600.902923996468</v>
      </c>
      <c r="F13" s="107">
        <f t="shared" si="16"/>
        <v>1600.902923996468</v>
      </c>
      <c r="G13" s="107">
        <f t="shared" si="16"/>
        <v>1600.902923996468</v>
      </c>
      <c r="H13" s="107">
        <f t="shared" si="16"/>
        <v>1600.902923996468</v>
      </c>
      <c r="I13" s="107">
        <f t="shared" si="16"/>
        <v>1600.902923996468</v>
      </c>
      <c r="J13" s="107">
        <f t="shared" si="16"/>
        <v>1600.902923996468</v>
      </c>
      <c r="K13" s="107">
        <f t="shared" si="16"/>
        <v>1600.902923996468</v>
      </c>
      <c r="L13" s="107">
        <f t="shared" si="16"/>
        <v>1600.902923996468</v>
      </c>
      <c r="M13" s="107">
        <f t="shared" si="16"/>
        <v>1600.902923996468</v>
      </c>
      <c r="N13" s="108" t="s">
        <v>135</v>
      </c>
      <c r="P13" s="107">
        <v>0.25</v>
      </c>
      <c r="Q13" s="107">
        <v>14</v>
      </c>
      <c r="R13" s="107">
        <v>9</v>
      </c>
      <c r="S13" s="107" t="s">
        <v>89</v>
      </c>
      <c r="T13" s="50">
        <f t="shared" si="3"/>
        <v>12.8651476706591</v>
      </c>
      <c r="U13" s="50">
        <f t="shared" si="4"/>
        <v>12.8651476706591</v>
      </c>
      <c r="V13" s="50">
        <f t="shared" si="5"/>
        <v>12.8651476706591</v>
      </c>
      <c r="W13" s="50">
        <f t="shared" si="6"/>
        <v>12.8651476706591</v>
      </c>
      <c r="X13" s="50">
        <f t="shared" si="7"/>
        <v>12.8651476706591</v>
      </c>
      <c r="Y13" s="50">
        <f t="shared" si="8"/>
        <v>12.8651476706591</v>
      </c>
      <c r="Z13" s="50">
        <f t="shared" si="9"/>
        <v>12.8651476706591</v>
      </c>
      <c r="AA13" s="50">
        <f t="shared" si="10"/>
        <v>12.8651476706591</v>
      </c>
      <c r="AB13" s="50">
        <f t="shared" si="11"/>
        <v>12.8651476706591</v>
      </c>
      <c r="AC13" s="51">
        <f t="shared" si="12"/>
        <v>12.8651476706591</v>
      </c>
      <c r="AD13" s="18" t="s">
        <v>96</v>
      </c>
      <c r="AE13" s="50" t="str">
        <f t="shared" si="13"/>
        <v>resid hot waterelectricityelectric heat pump water heater</v>
      </c>
    </row>
    <row r="14" spans="1:37" s="82" customFormat="1" ht="14" customHeight="1" thickBot="1" x14ac:dyDescent="0.25">
      <c r="A14" s="42" t="s">
        <v>72</v>
      </c>
      <c r="B14" s="43" t="s">
        <v>7</v>
      </c>
      <c r="C14" s="43" t="s">
        <v>24</v>
      </c>
      <c r="D14" s="82">
        <v>850</v>
      </c>
      <c r="E14" s="82">
        <v>850</v>
      </c>
      <c r="F14" s="82">
        <v>850</v>
      </c>
      <c r="G14" s="82">
        <v>850</v>
      </c>
      <c r="H14" s="82">
        <v>850</v>
      </c>
      <c r="I14" s="82">
        <v>850</v>
      </c>
      <c r="J14" s="82">
        <v>850</v>
      </c>
      <c r="K14" s="82">
        <v>850</v>
      </c>
      <c r="L14" s="82">
        <v>850</v>
      </c>
      <c r="M14" s="82">
        <v>850</v>
      </c>
      <c r="N14" s="81" t="s">
        <v>135</v>
      </c>
      <c r="P14" s="82">
        <v>0.25</v>
      </c>
      <c r="Q14" s="82">
        <v>14</v>
      </c>
      <c r="R14" s="82">
        <v>9</v>
      </c>
      <c r="S14" s="82" t="s">
        <v>89</v>
      </c>
      <c r="T14" s="62">
        <f t="shared" si="3"/>
        <v>6.8307549172071855</v>
      </c>
      <c r="U14" s="62">
        <f t="shared" si="4"/>
        <v>6.8307549172071855</v>
      </c>
      <c r="V14" s="62">
        <f t="shared" si="5"/>
        <v>6.8307549172071855</v>
      </c>
      <c r="W14" s="62">
        <f t="shared" si="6"/>
        <v>6.8307549172071855</v>
      </c>
      <c r="X14" s="62">
        <f t="shared" si="7"/>
        <v>6.8307549172071855</v>
      </c>
      <c r="Y14" s="62">
        <f t="shared" si="8"/>
        <v>6.8307549172071855</v>
      </c>
      <c r="Z14" s="62">
        <f t="shared" si="9"/>
        <v>6.8307549172071855</v>
      </c>
      <c r="AA14" s="62">
        <f t="shared" si="10"/>
        <v>6.8307549172071855</v>
      </c>
      <c r="AB14" s="62">
        <f t="shared" si="11"/>
        <v>6.8307549172071855</v>
      </c>
      <c r="AC14" s="85">
        <f t="shared" si="12"/>
        <v>6.8307549172071855</v>
      </c>
      <c r="AD14" s="43" t="s">
        <v>96</v>
      </c>
      <c r="AE14" s="62" t="str">
        <f t="shared" si="13"/>
        <v>resid hot waterelectricityelectric resistance water heater</v>
      </c>
    </row>
    <row r="15" spans="1:37" s="82" customFormat="1" ht="14" customHeight="1" thickBot="1" x14ac:dyDescent="0.25">
      <c r="A15" s="42" t="s">
        <v>72</v>
      </c>
      <c r="B15" s="43" t="s">
        <v>7</v>
      </c>
      <c r="C15" s="43" t="s">
        <v>25</v>
      </c>
      <c r="D15" s="82">
        <v>2075</v>
      </c>
      <c r="E15" s="82">
        <v>2075</v>
      </c>
      <c r="F15" s="82">
        <v>2075</v>
      </c>
      <c r="G15" s="82">
        <v>2075</v>
      </c>
      <c r="H15" s="82">
        <v>2075</v>
      </c>
      <c r="I15" s="82">
        <v>2075</v>
      </c>
      <c r="J15" s="82">
        <v>2075</v>
      </c>
      <c r="K15" s="82">
        <v>2075</v>
      </c>
      <c r="L15" s="82">
        <v>2075</v>
      </c>
      <c r="M15" s="82">
        <v>2075</v>
      </c>
      <c r="N15" s="81" t="s">
        <v>135</v>
      </c>
      <c r="P15" s="82">
        <v>0.25</v>
      </c>
      <c r="Q15" s="82">
        <v>14</v>
      </c>
      <c r="R15" s="82">
        <v>9</v>
      </c>
      <c r="S15" s="82" t="s">
        <v>89</v>
      </c>
      <c r="T15" s="62">
        <f t="shared" si="3"/>
        <v>16.675078180241073</v>
      </c>
      <c r="U15" s="62">
        <f t="shared" si="4"/>
        <v>16.675078180241073</v>
      </c>
      <c r="V15" s="62">
        <f t="shared" si="5"/>
        <v>16.675078180241073</v>
      </c>
      <c r="W15" s="62">
        <f t="shared" si="6"/>
        <v>16.675078180241073</v>
      </c>
      <c r="X15" s="62">
        <f t="shared" si="7"/>
        <v>16.675078180241073</v>
      </c>
      <c r="Y15" s="62">
        <f t="shared" si="8"/>
        <v>16.675078180241073</v>
      </c>
      <c r="Z15" s="62">
        <f t="shared" si="9"/>
        <v>16.675078180241073</v>
      </c>
      <c r="AA15" s="62">
        <f t="shared" si="10"/>
        <v>16.675078180241073</v>
      </c>
      <c r="AB15" s="62">
        <f t="shared" si="11"/>
        <v>16.675078180241073</v>
      </c>
      <c r="AC15" s="85">
        <f t="shared" si="12"/>
        <v>16.675078180241073</v>
      </c>
      <c r="AD15" s="43" t="s">
        <v>96</v>
      </c>
      <c r="AE15" s="62" t="str">
        <f t="shared" si="13"/>
        <v>resid hot waterelectricityelectric resistance water heater hi-eff</v>
      </c>
    </row>
    <row r="16" spans="1:37" s="82" customFormat="1" ht="14" customHeight="1" thickBot="1" x14ac:dyDescent="0.25">
      <c r="A16" s="42" t="s">
        <v>72</v>
      </c>
      <c r="B16" s="43" t="s">
        <v>8</v>
      </c>
      <c r="C16" s="43" t="s">
        <v>26</v>
      </c>
      <c r="D16" s="82">
        <v>1925</v>
      </c>
      <c r="E16" s="82">
        <v>1925</v>
      </c>
      <c r="F16" s="82">
        <v>1925</v>
      </c>
      <c r="G16" s="82">
        <v>1925</v>
      </c>
      <c r="H16" s="82">
        <v>1925</v>
      </c>
      <c r="I16" s="82">
        <v>1925</v>
      </c>
      <c r="J16" s="82">
        <v>1925</v>
      </c>
      <c r="K16" s="82">
        <v>1925</v>
      </c>
      <c r="L16" s="82">
        <v>1925</v>
      </c>
      <c r="M16" s="82">
        <v>1925</v>
      </c>
      <c r="N16" s="81" t="s">
        <v>135</v>
      </c>
      <c r="P16" s="82">
        <v>0.25</v>
      </c>
      <c r="Q16" s="82">
        <v>9</v>
      </c>
      <c r="R16" s="82">
        <v>9</v>
      </c>
      <c r="S16" s="82" t="s">
        <v>89</v>
      </c>
      <c r="T16" s="62">
        <f t="shared" si="3"/>
        <v>17.081994955398876</v>
      </c>
      <c r="U16" s="62">
        <f t="shared" si="4"/>
        <v>17.081994955398876</v>
      </c>
      <c r="V16" s="62">
        <f t="shared" si="5"/>
        <v>17.081994955398876</v>
      </c>
      <c r="W16" s="62">
        <f t="shared" si="6"/>
        <v>17.081994955398876</v>
      </c>
      <c r="X16" s="62">
        <f t="shared" si="7"/>
        <v>17.081994955398876</v>
      </c>
      <c r="Y16" s="62">
        <f t="shared" si="8"/>
        <v>17.081994955398876</v>
      </c>
      <c r="Z16" s="62">
        <f t="shared" si="9"/>
        <v>17.081994955398876</v>
      </c>
      <c r="AA16" s="62">
        <f t="shared" si="10"/>
        <v>17.081994955398876</v>
      </c>
      <c r="AB16" s="62">
        <f t="shared" si="11"/>
        <v>17.081994955398876</v>
      </c>
      <c r="AC16" s="85">
        <f t="shared" si="12"/>
        <v>17.081994955398876</v>
      </c>
      <c r="AD16" s="43" t="s">
        <v>96</v>
      </c>
      <c r="AE16" s="62" t="str">
        <f t="shared" si="13"/>
        <v>resid hot waterrefined liquidsfuel water heater</v>
      </c>
    </row>
    <row r="17" spans="1:34" s="82" customFormat="1" ht="14" customHeight="1" thickBot="1" x14ac:dyDescent="0.25">
      <c r="A17" s="42" t="s">
        <v>72</v>
      </c>
      <c r="B17" s="43" t="s">
        <v>8</v>
      </c>
      <c r="C17" s="43" t="s">
        <v>27</v>
      </c>
      <c r="D17" s="82">
        <v>1925</v>
      </c>
      <c r="E17" s="82">
        <v>1925</v>
      </c>
      <c r="F17" s="82">
        <v>1925</v>
      </c>
      <c r="G17" s="82">
        <v>1925</v>
      </c>
      <c r="H17" s="82">
        <v>1925</v>
      </c>
      <c r="I17" s="82">
        <v>1925</v>
      </c>
      <c r="J17" s="82">
        <v>1925</v>
      </c>
      <c r="K17" s="82">
        <v>1925</v>
      </c>
      <c r="L17" s="82">
        <v>1925</v>
      </c>
      <c r="M17" s="82">
        <v>1925</v>
      </c>
      <c r="N17" s="81" t="s">
        <v>135</v>
      </c>
      <c r="P17" s="82">
        <v>0.25</v>
      </c>
      <c r="Q17" s="82">
        <v>9</v>
      </c>
      <c r="R17" s="82">
        <v>9</v>
      </c>
      <c r="S17" s="82" t="s">
        <v>89</v>
      </c>
      <c r="T17" s="62">
        <f t="shared" si="3"/>
        <v>17.081994955398876</v>
      </c>
      <c r="U17" s="62">
        <f t="shared" si="4"/>
        <v>17.081994955398876</v>
      </c>
      <c r="V17" s="62">
        <f t="shared" si="5"/>
        <v>17.081994955398876</v>
      </c>
      <c r="W17" s="62">
        <f t="shared" si="6"/>
        <v>17.081994955398876</v>
      </c>
      <c r="X17" s="62">
        <f t="shared" si="7"/>
        <v>17.081994955398876</v>
      </c>
      <c r="Y17" s="62">
        <f t="shared" si="8"/>
        <v>17.081994955398876</v>
      </c>
      <c r="Z17" s="62">
        <f t="shared" si="9"/>
        <v>17.081994955398876</v>
      </c>
      <c r="AA17" s="62">
        <f t="shared" si="10"/>
        <v>17.081994955398876</v>
      </c>
      <c r="AB17" s="62">
        <f t="shared" si="11"/>
        <v>17.081994955398876</v>
      </c>
      <c r="AC17" s="85">
        <f t="shared" si="12"/>
        <v>17.081994955398876</v>
      </c>
      <c r="AD17" s="43" t="s">
        <v>96</v>
      </c>
      <c r="AE17" s="62" t="str">
        <f t="shared" si="13"/>
        <v>resid hot waterrefined liquidsfuel water heater hi-eff</v>
      </c>
    </row>
    <row r="18" spans="1:34" s="82" customFormat="1" ht="14" customHeight="1" thickBot="1" x14ac:dyDescent="0.25">
      <c r="A18" s="42" t="s">
        <v>79</v>
      </c>
      <c r="B18" s="43" t="s">
        <v>7</v>
      </c>
      <c r="C18" s="43" t="s">
        <v>32</v>
      </c>
      <c r="D18" s="82">
        <v>1096.6666666666699</v>
      </c>
      <c r="E18" s="82">
        <v>1096.6666666666699</v>
      </c>
      <c r="F18" s="82">
        <v>1096.6666666666699</v>
      </c>
      <c r="G18" s="82">
        <v>1096.6666666666699</v>
      </c>
      <c r="H18" s="82">
        <v>1096.6666666666699</v>
      </c>
      <c r="I18" s="82">
        <v>1096.6666666666699</v>
      </c>
      <c r="J18" s="82">
        <v>1096.6666666666699</v>
      </c>
      <c r="K18" s="82">
        <v>1096.6666666666699</v>
      </c>
      <c r="L18" s="82">
        <v>1096.6666666666699</v>
      </c>
      <c r="M18" s="82">
        <v>1096.6666666666699</v>
      </c>
      <c r="N18" s="81" t="s">
        <v>135</v>
      </c>
      <c r="P18" s="82">
        <v>0.15</v>
      </c>
      <c r="Q18" s="82">
        <v>19</v>
      </c>
      <c r="R18" s="82">
        <f>res_eff!D18*res_eff!P18*0.0036</f>
        <v>3.6959999999999975</v>
      </c>
      <c r="S18" s="82" t="s">
        <v>89</v>
      </c>
      <c r="T18" s="62">
        <f t="shared" si="3"/>
        <v>13.240181978632894</v>
      </c>
      <c r="U18" s="62">
        <f t="shared" si="4"/>
        <v>13.240181978632894</v>
      </c>
      <c r="V18" s="62">
        <f t="shared" si="5"/>
        <v>13.240181978632894</v>
      </c>
      <c r="W18" s="62">
        <f t="shared" si="6"/>
        <v>13.240181978632894</v>
      </c>
      <c r="X18" s="62">
        <f t="shared" si="7"/>
        <v>13.240181978632894</v>
      </c>
      <c r="Y18" s="62">
        <f t="shared" si="8"/>
        <v>13.240181978632894</v>
      </c>
      <c r="Z18" s="62">
        <f t="shared" si="9"/>
        <v>13.240181978632894</v>
      </c>
      <c r="AA18" s="62">
        <f t="shared" si="10"/>
        <v>13.240181978632894</v>
      </c>
      <c r="AB18" s="62">
        <f t="shared" si="11"/>
        <v>13.240181978632894</v>
      </c>
      <c r="AC18" s="85">
        <f t="shared" si="12"/>
        <v>13.240181978632894</v>
      </c>
      <c r="AD18" s="43" t="s">
        <v>96</v>
      </c>
      <c r="AE18" s="62" t="str">
        <f t="shared" si="13"/>
        <v>resid refrigeratorselectricityrefrigerator</v>
      </c>
    </row>
    <row r="19" spans="1:34" s="82" customFormat="1" ht="14" customHeight="1" thickBot="1" x14ac:dyDescent="0.25">
      <c r="A19" s="42" t="s">
        <v>79</v>
      </c>
      <c r="B19" s="43" t="s">
        <v>7</v>
      </c>
      <c r="C19" s="43" t="s">
        <v>33</v>
      </c>
      <c r="D19" s="82">
        <v>1186.67</v>
      </c>
      <c r="E19" s="82">
        <v>1186.67</v>
      </c>
      <c r="F19" s="82">
        <v>1186.67</v>
      </c>
      <c r="G19" s="82">
        <v>1186.67</v>
      </c>
      <c r="H19" s="82">
        <v>1186.67</v>
      </c>
      <c r="I19" s="82">
        <v>1186.67</v>
      </c>
      <c r="J19" s="82">
        <v>1186.67</v>
      </c>
      <c r="K19" s="82">
        <v>1186.67</v>
      </c>
      <c r="L19" s="82">
        <v>1186.67</v>
      </c>
      <c r="M19" s="82">
        <v>1186.67</v>
      </c>
      <c r="N19" s="81" t="s">
        <v>135</v>
      </c>
      <c r="P19" s="82">
        <v>0.15</v>
      </c>
      <c r="Q19" s="82">
        <v>19</v>
      </c>
      <c r="R19" s="82">
        <f>R18</f>
        <v>3.6959999999999975</v>
      </c>
      <c r="S19" s="82" t="s">
        <v>89</v>
      </c>
      <c r="T19" s="62">
        <f t="shared" si="3"/>
        <v>14.326802506307827</v>
      </c>
      <c r="U19" s="62">
        <f t="shared" si="4"/>
        <v>14.326802506307827</v>
      </c>
      <c r="V19" s="62">
        <f t="shared" si="5"/>
        <v>14.326802506307827</v>
      </c>
      <c r="W19" s="62">
        <f t="shared" si="6"/>
        <v>14.326802506307827</v>
      </c>
      <c r="X19" s="62">
        <f t="shared" si="7"/>
        <v>14.326802506307827</v>
      </c>
      <c r="Y19" s="62">
        <f t="shared" si="8"/>
        <v>14.326802506307827</v>
      </c>
      <c r="Z19" s="62">
        <f t="shared" si="9"/>
        <v>14.326802506307827</v>
      </c>
      <c r="AA19" s="62">
        <f t="shared" si="10"/>
        <v>14.326802506307827</v>
      </c>
      <c r="AB19" s="62">
        <f t="shared" si="11"/>
        <v>14.326802506307827</v>
      </c>
      <c r="AC19" s="85">
        <f t="shared" si="12"/>
        <v>14.326802506307827</v>
      </c>
      <c r="AD19" s="43" t="s">
        <v>96</v>
      </c>
      <c r="AE19" s="62" t="str">
        <f t="shared" si="13"/>
        <v>resid refrigeratorselectricityrefrigerator hi-eff</v>
      </c>
    </row>
    <row r="20" spans="1:34" s="6" customFormat="1" ht="14" customHeight="1" thickBot="1" x14ac:dyDescent="0.25">
      <c r="A20" s="86" t="s">
        <v>78</v>
      </c>
      <c r="B20" s="43" t="s">
        <v>31</v>
      </c>
      <c r="C20" s="43" t="s">
        <v>110</v>
      </c>
      <c r="D20" s="82">
        <v>370</v>
      </c>
      <c r="E20" s="82">
        <v>370</v>
      </c>
      <c r="F20" s="82">
        <v>370</v>
      </c>
      <c r="G20" s="82">
        <v>370</v>
      </c>
      <c r="H20" s="82">
        <v>370</v>
      </c>
      <c r="I20" s="82">
        <v>370</v>
      </c>
      <c r="J20" s="82">
        <v>370</v>
      </c>
      <c r="K20" s="82">
        <v>370</v>
      </c>
      <c r="L20" s="82">
        <v>370</v>
      </c>
      <c r="M20" s="82">
        <v>370</v>
      </c>
      <c r="N20" s="81" t="s">
        <v>135</v>
      </c>
      <c r="P20" s="82">
        <v>0.15</v>
      </c>
      <c r="Q20" s="82">
        <v>19</v>
      </c>
      <c r="R20" s="82">
        <f>$R$22</f>
        <v>0.79765210591193492</v>
      </c>
      <c r="S20" s="82" t="s">
        <v>89</v>
      </c>
      <c r="T20" s="62">
        <f t="shared" si="3"/>
        <v>20.69852896894179</v>
      </c>
      <c r="U20" s="62">
        <f t="shared" si="4"/>
        <v>20.69852896894179</v>
      </c>
      <c r="V20" s="62">
        <f t="shared" si="5"/>
        <v>20.69852896894179</v>
      </c>
      <c r="W20" s="62">
        <f t="shared" si="6"/>
        <v>20.69852896894179</v>
      </c>
      <c r="X20" s="62">
        <f t="shared" si="7"/>
        <v>20.69852896894179</v>
      </c>
      <c r="Y20" s="62">
        <f t="shared" si="8"/>
        <v>20.69852896894179</v>
      </c>
      <c r="Z20" s="62">
        <f t="shared" si="9"/>
        <v>20.69852896894179</v>
      </c>
      <c r="AA20" s="62">
        <f t="shared" si="10"/>
        <v>20.69852896894179</v>
      </c>
      <c r="AB20" s="62">
        <f t="shared" si="11"/>
        <v>20.69852896894179</v>
      </c>
      <c r="AC20" s="85">
        <f t="shared" si="12"/>
        <v>20.69852896894179</v>
      </c>
      <c r="AD20" s="43" t="s">
        <v>96</v>
      </c>
      <c r="AE20" s="62" t="str">
        <f t="shared" si="13"/>
        <v>resid cookinggasgas oven</v>
      </c>
      <c r="AH20" s="82"/>
    </row>
    <row r="21" spans="1:34" s="6" customFormat="1" ht="14" customHeight="1" thickBot="1" x14ac:dyDescent="0.25">
      <c r="A21" s="86" t="s">
        <v>78</v>
      </c>
      <c r="B21" s="43" t="s">
        <v>31</v>
      </c>
      <c r="C21" s="43" t="s">
        <v>111</v>
      </c>
      <c r="D21" s="82">
        <v>370</v>
      </c>
      <c r="E21" s="82">
        <v>370</v>
      </c>
      <c r="F21" s="82">
        <v>370</v>
      </c>
      <c r="G21" s="82">
        <v>370</v>
      </c>
      <c r="H21" s="82">
        <v>370</v>
      </c>
      <c r="I21" s="82">
        <v>370</v>
      </c>
      <c r="J21" s="82">
        <v>370</v>
      </c>
      <c r="K21" s="82">
        <v>370</v>
      </c>
      <c r="L21" s="82">
        <v>370</v>
      </c>
      <c r="M21" s="82">
        <v>370</v>
      </c>
      <c r="N21" s="81" t="s">
        <v>135</v>
      </c>
      <c r="P21" s="82">
        <v>0.15</v>
      </c>
      <c r="Q21" s="82">
        <v>19</v>
      </c>
      <c r="R21" s="82">
        <f>$R$22</f>
        <v>0.79765210591193492</v>
      </c>
      <c r="S21" s="82" t="s">
        <v>89</v>
      </c>
      <c r="T21" s="62">
        <f t="shared" si="3"/>
        <v>20.69852896894179</v>
      </c>
      <c r="U21" s="62">
        <f t="shared" si="4"/>
        <v>20.69852896894179</v>
      </c>
      <c r="V21" s="62">
        <f t="shared" si="5"/>
        <v>20.69852896894179</v>
      </c>
      <c r="W21" s="62">
        <f t="shared" si="6"/>
        <v>20.69852896894179</v>
      </c>
      <c r="X21" s="62">
        <f t="shared" si="7"/>
        <v>20.69852896894179</v>
      </c>
      <c r="Y21" s="62">
        <f t="shared" si="8"/>
        <v>20.69852896894179</v>
      </c>
      <c r="Z21" s="62">
        <f t="shared" si="9"/>
        <v>20.69852896894179</v>
      </c>
      <c r="AA21" s="62">
        <f t="shared" si="10"/>
        <v>20.69852896894179</v>
      </c>
      <c r="AB21" s="62">
        <f t="shared" si="11"/>
        <v>20.69852896894179</v>
      </c>
      <c r="AC21" s="85">
        <f t="shared" si="12"/>
        <v>20.69852896894179</v>
      </c>
      <c r="AD21" s="43" t="s">
        <v>96</v>
      </c>
      <c r="AE21" s="62" t="str">
        <f t="shared" si="13"/>
        <v>resid cookinggasgas oven hi-eff</v>
      </c>
      <c r="AH21" s="82"/>
    </row>
    <row r="22" spans="1:34" s="10" customFormat="1" ht="14" customHeight="1" thickBot="1" x14ac:dyDescent="0.25">
      <c r="A22" s="99" t="s">
        <v>78</v>
      </c>
      <c r="B22" s="100" t="s">
        <v>7</v>
      </c>
      <c r="C22" s="100" t="s">
        <v>112</v>
      </c>
      <c r="D22" s="98">
        <f>$C48</f>
        <v>384.21670175915233</v>
      </c>
      <c r="E22" s="98">
        <f t="shared" ref="E22:M22" si="17">$C48</f>
        <v>384.21670175915233</v>
      </c>
      <c r="F22" s="98">
        <f t="shared" si="17"/>
        <v>384.21670175915233</v>
      </c>
      <c r="G22" s="98">
        <f t="shared" si="17"/>
        <v>384.21670175915233</v>
      </c>
      <c r="H22" s="98">
        <f t="shared" si="17"/>
        <v>384.21670175915233</v>
      </c>
      <c r="I22" s="98">
        <f t="shared" si="17"/>
        <v>384.21670175915233</v>
      </c>
      <c r="J22" s="98">
        <f t="shared" si="17"/>
        <v>384.21670175915233</v>
      </c>
      <c r="K22" s="98">
        <f t="shared" si="17"/>
        <v>384.21670175915233</v>
      </c>
      <c r="L22" s="98">
        <f t="shared" si="17"/>
        <v>384.21670175915233</v>
      </c>
      <c r="M22" s="98">
        <f t="shared" si="17"/>
        <v>384.21670175915233</v>
      </c>
      <c r="N22" s="39" t="s">
        <v>135</v>
      </c>
      <c r="P22" s="98">
        <v>0.15</v>
      </c>
      <c r="Q22" s="98">
        <v>19</v>
      </c>
      <c r="R22" s="98">
        <f>res_eff!D22*res_eff!P22*0.0036</f>
        <v>0.79765210591193492</v>
      </c>
      <c r="S22" s="98" t="s">
        <v>89</v>
      </c>
      <c r="T22" s="48">
        <f t="shared" si="3"/>
        <v>21.493839274900225</v>
      </c>
      <c r="U22" s="48">
        <f t="shared" si="4"/>
        <v>21.493839274900225</v>
      </c>
      <c r="V22" s="48">
        <f t="shared" si="5"/>
        <v>21.493839274900225</v>
      </c>
      <c r="W22" s="48">
        <f t="shared" si="6"/>
        <v>21.493839274900225</v>
      </c>
      <c r="X22" s="48">
        <f t="shared" si="7"/>
        <v>21.493839274900225</v>
      </c>
      <c r="Y22" s="48">
        <f t="shared" si="8"/>
        <v>21.493839274900225</v>
      </c>
      <c r="Z22" s="48">
        <f t="shared" si="9"/>
        <v>21.493839274900225</v>
      </c>
      <c r="AA22" s="48">
        <f t="shared" si="10"/>
        <v>21.493839274900225</v>
      </c>
      <c r="AB22" s="48">
        <f t="shared" si="11"/>
        <v>21.493839274900225</v>
      </c>
      <c r="AC22" s="49">
        <f t="shared" si="12"/>
        <v>21.493839274900225</v>
      </c>
      <c r="AD22" s="17" t="s">
        <v>96</v>
      </c>
      <c r="AE22" s="48" t="str">
        <f t="shared" si="13"/>
        <v>resid cookingelectricityelectric oven</v>
      </c>
      <c r="AH22" s="98"/>
    </row>
    <row r="23" spans="1:34" s="6" customFormat="1" ht="14" customHeight="1" thickBot="1" x14ac:dyDescent="0.25">
      <c r="A23" s="42" t="s">
        <v>77</v>
      </c>
      <c r="B23" s="43" t="s">
        <v>31</v>
      </c>
      <c r="C23" s="43" t="s">
        <v>3</v>
      </c>
      <c r="D23" s="82">
        <v>660</v>
      </c>
      <c r="E23" s="82">
        <v>660</v>
      </c>
      <c r="F23" s="82">
        <v>660</v>
      </c>
      <c r="G23" s="82">
        <v>660</v>
      </c>
      <c r="H23" s="82">
        <v>660</v>
      </c>
      <c r="I23" s="82">
        <v>660</v>
      </c>
      <c r="J23" s="82">
        <v>660</v>
      </c>
      <c r="K23" s="82">
        <v>660</v>
      </c>
      <c r="L23" s="82">
        <v>660</v>
      </c>
      <c r="M23" s="82">
        <v>660</v>
      </c>
      <c r="N23" s="81" t="s">
        <v>135</v>
      </c>
      <c r="P23" s="82">
        <v>0.15</v>
      </c>
      <c r="Q23" s="6">
        <v>10</v>
      </c>
      <c r="R23" s="6">
        <f>res_eff!D25*res_eff!P25*0.454</f>
        <v>1018.7760000000001</v>
      </c>
      <c r="S23" s="6" t="s">
        <v>90</v>
      </c>
      <c r="T23" s="88">
        <f t="shared" si="3"/>
        <v>3.57015523930065E-2</v>
      </c>
      <c r="U23" s="88">
        <f t="shared" si="4"/>
        <v>3.57015523930065E-2</v>
      </c>
      <c r="V23" s="88">
        <f t="shared" si="5"/>
        <v>3.57015523930065E-2</v>
      </c>
      <c r="W23" s="88">
        <f t="shared" si="6"/>
        <v>3.57015523930065E-2</v>
      </c>
      <c r="X23" s="88">
        <f t="shared" si="7"/>
        <v>3.57015523930065E-2</v>
      </c>
      <c r="Y23" s="88">
        <f t="shared" si="8"/>
        <v>3.57015523930065E-2</v>
      </c>
      <c r="Z23" s="88">
        <f t="shared" si="9"/>
        <v>3.57015523930065E-2</v>
      </c>
      <c r="AA23" s="88">
        <f t="shared" si="10"/>
        <v>3.57015523930065E-2</v>
      </c>
      <c r="AB23" s="88">
        <f t="shared" si="11"/>
        <v>3.57015523930065E-2</v>
      </c>
      <c r="AC23" s="89">
        <f t="shared" si="12"/>
        <v>3.57015523930065E-2</v>
      </c>
      <c r="AD23" s="43" t="s">
        <v>102</v>
      </c>
      <c r="AE23" s="62" t="str">
        <f t="shared" si="13"/>
        <v>resid clothes dryersgasclothes dryer</v>
      </c>
      <c r="AH23" s="82"/>
    </row>
    <row r="24" spans="1:34" s="6" customFormat="1" ht="14" customHeight="1" thickBot="1" x14ac:dyDescent="0.25">
      <c r="A24" s="42" t="s">
        <v>77</v>
      </c>
      <c r="B24" s="43" t="s">
        <v>31</v>
      </c>
      <c r="C24" s="43" t="s">
        <v>3</v>
      </c>
      <c r="D24" s="82">
        <v>660</v>
      </c>
      <c r="E24" s="82">
        <v>660</v>
      </c>
      <c r="F24" s="82">
        <v>660</v>
      </c>
      <c r="G24" s="82">
        <v>660</v>
      </c>
      <c r="H24" s="82">
        <v>660</v>
      </c>
      <c r="I24" s="82">
        <v>660</v>
      </c>
      <c r="J24" s="82">
        <v>660</v>
      </c>
      <c r="K24" s="82">
        <v>660</v>
      </c>
      <c r="L24" s="82">
        <v>660</v>
      </c>
      <c r="M24" s="82">
        <v>660</v>
      </c>
      <c r="N24" s="81" t="s">
        <v>135</v>
      </c>
      <c r="P24" s="82">
        <v>0.15</v>
      </c>
      <c r="Q24" s="6">
        <v>10</v>
      </c>
      <c r="R24" s="6">
        <f>$R$23</f>
        <v>1018.7760000000001</v>
      </c>
      <c r="S24" s="6" t="s">
        <v>90</v>
      </c>
      <c r="T24" s="88">
        <f t="shared" si="3"/>
        <v>3.57015523930065E-2</v>
      </c>
      <c r="U24" s="88">
        <f t="shared" si="4"/>
        <v>3.57015523930065E-2</v>
      </c>
      <c r="V24" s="88">
        <f t="shared" si="5"/>
        <v>3.57015523930065E-2</v>
      </c>
      <c r="W24" s="88">
        <f t="shared" si="6"/>
        <v>3.57015523930065E-2</v>
      </c>
      <c r="X24" s="88">
        <f t="shared" si="7"/>
        <v>3.57015523930065E-2</v>
      </c>
      <c r="Y24" s="88">
        <f t="shared" si="8"/>
        <v>3.57015523930065E-2</v>
      </c>
      <c r="Z24" s="88">
        <f t="shared" si="9"/>
        <v>3.57015523930065E-2</v>
      </c>
      <c r="AA24" s="88">
        <f t="shared" si="10"/>
        <v>3.57015523930065E-2</v>
      </c>
      <c r="AB24" s="88">
        <f t="shared" si="11"/>
        <v>3.57015523930065E-2</v>
      </c>
      <c r="AC24" s="89">
        <f t="shared" si="12"/>
        <v>3.57015523930065E-2</v>
      </c>
      <c r="AD24" s="43" t="s">
        <v>102</v>
      </c>
      <c r="AE24" s="62" t="str">
        <f t="shared" si="13"/>
        <v>resid clothes dryersgasclothes dryer</v>
      </c>
      <c r="AH24" s="82"/>
    </row>
    <row r="25" spans="1:34" s="6" customFormat="1" ht="14" customHeight="1" thickBot="1" x14ac:dyDescent="0.25">
      <c r="A25" s="42" t="s">
        <v>77</v>
      </c>
      <c r="B25" s="43" t="s">
        <v>7</v>
      </c>
      <c r="C25" s="43" t="s">
        <v>3</v>
      </c>
      <c r="D25" s="82">
        <v>540</v>
      </c>
      <c r="E25" s="82">
        <v>540</v>
      </c>
      <c r="F25" s="82">
        <v>540</v>
      </c>
      <c r="G25" s="82">
        <v>540</v>
      </c>
      <c r="H25" s="82">
        <v>540</v>
      </c>
      <c r="I25" s="82">
        <v>540</v>
      </c>
      <c r="J25" s="82">
        <v>540</v>
      </c>
      <c r="K25" s="82">
        <v>540</v>
      </c>
      <c r="L25" s="82">
        <v>540</v>
      </c>
      <c r="M25" s="82">
        <v>540</v>
      </c>
      <c r="N25" s="81" t="s">
        <v>135</v>
      </c>
      <c r="P25" s="82">
        <v>0.15</v>
      </c>
      <c r="Q25" s="6">
        <v>10</v>
      </c>
      <c r="R25" s="6">
        <f>$R$23</f>
        <v>1018.7760000000001</v>
      </c>
      <c r="S25" s="6" t="s">
        <v>90</v>
      </c>
      <c r="T25" s="88">
        <f t="shared" si="3"/>
        <v>2.9210361048823498E-2</v>
      </c>
      <c r="U25" s="88">
        <f t="shared" si="4"/>
        <v>2.9210361048823498E-2</v>
      </c>
      <c r="V25" s="88">
        <f t="shared" si="5"/>
        <v>2.9210361048823498E-2</v>
      </c>
      <c r="W25" s="88">
        <f t="shared" si="6"/>
        <v>2.9210361048823498E-2</v>
      </c>
      <c r="X25" s="88">
        <f t="shared" si="7"/>
        <v>2.9210361048823498E-2</v>
      </c>
      <c r="Y25" s="88">
        <f t="shared" si="8"/>
        <v>2.9210361048823498E-2</v>
      </c>
      <c r="Z25" s="88">
        <f t="shared" si="9"/>
        <v>2.9210361048823498E-2</v>
      </c>
      <c r="AA25" s="88">
        <f t="shared" si="10"/>
        <v>2.9210361048823498E-2</v>
      </c>
      <c r="AB25" s="88">
        <f t="shared" si="11"/>
        <v>2.9210361048823498E-2</v>
      </c>
      <c r="AC25" s="89">
        <f t="shared" si="12"/>
        <v>2.9210361048823498E-2</v>
      </c>
      <c r="AD25" s="43" t="s">
        <v>102</v>
      </c>
      <c r="AE25" s="62" t="str">
        <f t="shared" si="13"/>
        <v>resid clothes dryerselectricityclothes dryer</v>
      </c>
      <c r="AH25" s="82"/>
    </row>
    <row r="26" spans="1:34" s="10" customFormat="1" ht="14" customHeight="1" thickBot="1" x14ac:dyDescent="0.25">
      <c r="A26" s="27" t="s">
        <v>77</v>
      </c>
      <c r="B26" s="17" t="s">
        <v>7</v>
      </c>
      <c r="C26" s="17" t="s">
        <v>4</v>
      </c>
      <c r="D26" s="98">
        <f>$C48</f>
        <v>384.21670175915233</v>
      </c>
      <c r="E26" s="98">
        <f t="shared" ref="E26:M26" si="18">$C48</f>
        <v>384.21670175915233</v>
      </c>
      <c r="F26" s="98">
        <f t="shared" si="18"/>
        <v>384.21670175915233</v>
      </c>
      <c r="G26" s="98">
        <f t="shared" si="18"/>
        <v>384.21670175915233</v>
      </c>
      <c r="H26" s="98">
        <f t="shared" si="18"/>
        <v>384.21670175915233</v>
      </c>
      <c r="I26" s="98">
        <f t="shared" si="18"/>
        <v>384.21670175915233</v>
      </c>
      <c r="J26" s="98">
        <f t="shared" si="18"/>
        <v>384.21670175915233</v>
      </c>
      <c r="K26" s="98">
        <f t="shared" si="18"/>
        <v>384.21670175915233</v>
      </c>
      <c r="L26" s="98">
        <f t="shared" si="18"/>
        <v>384.21670175915233</v>
      </c>
      <c r="M26" s="98">
        <f t="shared" si="18"/>
        <v>384.21670175915233</v>
      </c>
      <c r="N26" s="39" t="s">
        <v>135</v>
      </c>
      <c r="P26" s="98">
        <v>0.15</v>
      </c>
      <c r="Q26" s="10">
        <v>10</v>
      </c>
      <c r="R26" s="10">
        <f>$R$23</f>
        <v>1018.7760000000001</v>
      </c>
      <c r="S26" s="10" t="s">
        <v>90</v>
      </c>
      <c r="T26" s="46">
        <f t="shared" si="3"/>
        <v>2.0783534406246262E-2</v>
      </c>
      <c r="U26" s="46">
        <f t="shared" si="4"/>
        <v>2.0783534406246262E-2</v>
      </c>
      <c r="V26" s="46">
        <f t="shared" si="5"/>
        <v>2.0783534406246262E-2</v>
      </c>
      <c r="W26" s="46">
        <f t="shared" si="6"/>
        <v>2.0783534406246262E-2</v>
      </c>
      <c r="X26" s="46">
        <f t="shared" si="7"/>
        <v>2.0783534406246262E-2</v>
      </c>
      <c r="Y26" s="46">
        <f t="shared" si="8"/>
        <v>2.0783534406246262E-2</v>
      </c>
      <c r="Z26" s="46">
        <f t="shared" si="9"/>
        <v>2.0783534406246262E-2</v>
      </c>
      <c r="AA26" s="46">
        <f t="shared" si="10"/>
        <v>2.0783534406246262E-2</v>
      </c>
      <c r="AB26" s="46">
        <f t="shared" si="11"/>
        <v>2.0783534406246262E-2</v>
      </c>
      <c r="AC26" s="47">
        <f t="shared" si="12"/>
        <v>2.0783534406246262E-2</v>
      </c>
      <c r="AD26" s="17" t="s">
        <v>102</v>
      </c>
      <c r="AE26" s="48" t="str">
        <f t="shared" si="13"/>
        <v>resid clothes dryerselectricityclothes dryer hi-eff</v>
      </c>
      <c r="AH26" s="98"/>
    </row>
    <row r="27" spans="1:34" s="6" customFormat="1" ht="14" customHeight="1" thickBot="1" x14ac:dyDescent="0.25">
      <c r="A27" s="42" t="s">
        <v>76</v>
      </c>
      <c r="B27" s="43" t="s">
        <v>7</v>
      </c>
      <c r="C27" s="43" t="s">
        <v>13</v>
      </c>
      <c r="D27" s="82">
        <v>625</v>
      </c>
      <c r="E27" s="82">
        <v>625</v>
      </c>
      <c r="F27" s="82">
        <v>625</v>
      </c>
      <c r="G27" s="82">
        <v>625</v>
      </c>
      <c r="H27" s="82">
        <v>625</v>
      </c>
      <c r="I27" s="82">
        <v>625</v>
      </c>
      <c r="J27" s="82">
        <v>625</v>
      </c>
      <c r="K27" s="82">
        <v>625</v>
      </c>
      <c r="L27" s="82">
        <v>625</v>
      </c>
      <c r="M27" s="82">
        <v>625</v>
      </c>
      <c r="N27" s="81" t="s">
        <v>135</v>
      </c>
      <c r="P27" s="82">
        <v>0.15</v>
      </c>
      <c r="Q27" s="6">
        <v>10</v>
      </c>
      <c r="R27" s="82">
        <f>res_eff!D27*res_eff!P27*0.0036</f>
        <v>1.3373999999999999</v>
      </c>
      <c r="S27" s="82" t="s">
        <v>89</v>
      </c>
      <c r="T27" s="62">
        <f t="shared" si="3"/>
        <v>25.753755548940504</v>
      </c>
      <c r="U27" s="62">
        <f t="shared" si="4"/>
        <v>25.753755548940504</v>
      </c>
      <c r="V27" s="62">
        <f t="shared" si="5"/>
        <v>25.753755548940504</v>
      </c>
      <c r="W27" s="62">
        <f t="shared" si="6"/>
        <v>25.753755548940504</v>
      </c>
      <c r="X27" s="62">
        <f t="shared" si="7"/>
        <v>25.753755548940504</v>
      </c>
      <c r="Y27" s="62">
        <f t="shared" si="8"/>
        <v>25.753755548940504</v>
      </c>
      <c r="Z27" s="62">
        <f t="shared" si="9"/>
        <v>25.753755548940504</v>
      </c>
      <c r="AA27" s="62">
        <f t="shared" si="10"/>
        <v>25.753755548940504</v>
      </c>
      <c r="AB27" s="62">
        <f t="shared" si="11"/>
        <v>25.753755548940504</v>
      </c>
      <c r="AC27" s="85">
        <f t="shared" si="12"/>
        <v>25.753755548940504</v>
      </c>
      <c r="AD27" s="43" t="s">
        <v>96</v>
      </c>
      <c r="AE27" s="62" t="str">
        <f t="shared" si="13"/>
        <v>resid freezerselectricityfreezer</v>
      </c>
      <c r="AH27" s="82"/>
    </row>
    <row r="28" spans="1:34" s="6" customFormat="1" ht="14" customHeight="1" thickBot="1" x14ac:dyDescent="0.25">
      <c r="A28" s="42" t="s">
        <v>76</v>
      </c>
      <c r="B28" s="43" t="s">
        <v>7</v>
      </c>
      <c r="C28" s="43" t="s">
        <v>14</v>
      </c>
      <c r="D28" s="82">
        <v>625</v>
      </c>
      <c r="E28" s="82">
        <v>625</v>
      </c>
      <c r="F28" s="82">
        <v>625</v>
      </c>
      <c r="G28" s="82">
        <v>625</v>
      </c>
      <c r="H28" s="82">
        <v>625</v>
      </c>
      <c r="I28" s="82">
        <v>625</v>
      </c>
      <c r="J28" s="82">
        <v>625</v>
      </c>
      <c r="K28" s="82">
        <v>625</v>
      </c>
      <c r="L28" s="82">
        <v>625</v>
      </c>
      <c r="M28" s="82">
        <v>625</v>
      </c>
      <c r="N28" s="81" t="s">
        <v>135</v>
      </c>
      <c r="P28" s="82">
        <v>0.15</v>
      </c>
      <c r="Q28" s="6">
        <v>10</v>
      </c>
      <c r="R28" s="6">
        <f>R27</f>
        <v>1.3373999999999999</v>
      </c>
      <c r="S28" s="82" t="s">
        <v>89</v>
      </c>
      <c r="T28" s="62">
        <f t="shared" si="3"/>
        <v>25.753755548940504</v>
      </c>
      <c r="U28" s="62">
        <f t="shared" si="4"/>
        <v>25.753755548940504</v>
      </c>
      <c r="V28" s="62">
        <f t="shared" si="5"/>
        <v>25.753755548940504</v>
      </c>
      <c r="W28" s="62">
        <f t="shared" si="6"/>
        <v>25.753755548940504</v>
      </c>
      <c r="X28" s="62">
        <f t="shared" si="7"/>
        <v>25.753755548940504</v>
      </c>
      <c r="Y28" s="62">
        <f t="shared" si="8"/>
        <v>25.753755548940504</v>
      </c>
      <c r="Z28" s="62">
        <f t="shared" si="9"/>
        <v>25.753755548940504</v>
      </c>
      <c r="AA28" s="62">
        <f t="shared" si="10"/>
        <v>25.753755548940504</v>
      </c>
      <c r="AB28" s="62">
        <f t="shared" si="11"/>
        <v>25.753755548940504</v>
      </c>
      <c r="AC28" s="85">
        <f t="shared" si="12"/>
        <v>25.753755548940504</v>
      </c>
      <c r="AD28" s="43" t="s">
        <v>96</v>
      </c>
      <c r="AE28" s="62" t="str">
        <f t="shared" si="13"/>
        <v>resid freezerselectricityfreezer hi-eff</v>
      </c>
      <c r="AH28" s="82"/>
    </row>
    <row r="29" spans="1:34" s="6" customFormat="1" ht="14" customHeight="1" thickBot="1" x14ac:dyDescent="0.25">
      <c r="A29" s="42" t="s">
        <v>73</v>
      </c>
      <c r="B29" s="43" t="s">
        <v>7</v>
      </c>
      <c r="C29" s="43" t="s">
        <v>29</v>
      </c>
      <c r="D29" s="82">
        <v>1.99</v>
      </c>
      <c r="E29" s="82">
        <v>1.99</v>
      </c>
      <c r="F29" s="82">
        <v>1.99</v>
      </c>
      <c r="G29" s="82">
        <v>1.99</v>
      </c>
      <c r="H29" s="82">
        <v>1.99</v>
      </c>
      <c r="I29" s="82">
        <v>1.99</v>
      </c>
      <c r="J29" s="82">
        <v>1.99</v>
      </c>
      <c r="K29" s="82">
        <v>1.99</v>
      </c>
      <c r="L29" s="82">
        <v>1.99</v>
      </c>
      <c r="M29" s="82">
        <v>1.99</v>
      </c>
      <c r="N29" s="81" t="s">
        <v>135</v>
      </c>
      <c r="P29" s="82">
        <v>0.15</v>
      </c>
      <c r="Q29" s="6">
        <f>[1]rsmlgt_AT15!$G$38/8760/0.1</f>
        <v>1.1415525114155249</v>
      </c>
      <c r="R29" s="6">
        <f>[1]rsmlgt_AT15!$F$36*res_eff!D29*8760*0.1/1000000</f>
        <v>0.86881680000000006</v>
      </c>
      <c r="S29" s="6" t="s">
        <v>98</v>
      </c>
      <c r="T29" s="88">
        <f t="shared" si="3"/>
        <v>0.64436910960221983</v>
      </c>
      <c r="U29" s="88">
        <f t="shared" si="4"/>
        <v>0.64436910960221983</v>
      </c>
      <c r="V29" s="88">
        <f t="shared" si="5"/>
        <v>0.64436910960221983</v>
      </c>
      <c r="W29" s="88">
        <f t="shared" si="6"/>
        <v>0.64436910960221983</v>
      </c>
      <c r="X29" s="88">
        <f t="shared" si="7"/>
        <v>0.64436910960221983</v>
      </c>
      <c r="Y29" s="88">
        <f t="shared" si="8"/>
        <v>0.64436910960221983</v>
      </c>
      <c r="Z29" s="88">
        <f t="shared" si="9"/>
        <v>0.64436910960221983</v>
      </c>
      <c r="AA29" s="88">
        <f t="shared" si="10"/>
        <v>0.64436910960221983</v>
      </c>
      <c r="AB29" s="88">
        <f t="shared" si="11"/>
        <v>0.64436910960221983</v>
      </c>
      <c r="AC29" s="89">
        <f t="shared" si="12"/>
        <v>0.64436910960221983</v>
      </c>
      <c r="AD29" s="43" t="s">
        <v>99</v>
      </c>
      <c r="AE29" s="62" t="str">
        <f t="shared" si="13"/>
        <v>resid lightingelectricityincandescent</v>
      </c>
      <c r="AH29" s="82"/>
    </row>
    <row r="30" spans="1:34" s="6" customFormat="1" ht="14" customHeight="1" thickBot="1" x14ac:dyDescent="0.25">
      <c r="A30" s="42" t="s">
        <v>73</v>
      </c>
      <c r="B30" s="43" t="s">
        <v>7</v>
      </c>
      <c r="C30" s="43" t="s">
        <v>28</v>
      </c>
      <c r="D30" s="82">
        <v>1.98</v>
      </c>
      <c r="E30" s="82">
        <v>1.98</v>
      </c>
      <c r="F30" s="82">
        <v>1.98</v>
      </c>
      <c r="G30" s="82">
        <v>1.98</v>
      </c>
      <c r="H30" s="82">
        <v>1.89</v>
      </c>
      <c r="I30" s="82">
        <v>1.89</v>
      </c>
      <c r="J30" s="82">
        <v>1.79</v>
      </c>
      <c r="K30" s="82">
        <v>1.79</v>
      </c>
      <c r="L30" s="82">
        <v>1.79</v>
      </c>
      <c r="M30" s="82">
        <v>1.79</v>
      </c>
      <c r="N30" s="81" t="s">
        <v>135</v>
      </c>
      <c r="P30" s="82">
        <v>0.15</v>
      </c>
      <c r="Q30" s="6">
        <f>[1]rsmlgt_AT15!$G$41/8760/0.1</f>
        <v>11.415525114155251</v>
      </c>
      <c r="R30" s="6">
        <f>$R$29</f>
        <v>0.86881680000000006</v>
      </c>
      <c r="S30" s="6" t="s">
        <v>98</v>
      </c>
      <c r="T30" s="88">
        <f t="shared" si="3"/>
        <v>0.11860110284297176</v>
      </c>
      <c r="U30" s="88">
        <f t="shared" si="4"/>
        <v>0.11860110284297176</v>
      </c>
      <c r="V30" s="88">
        <f t="shared" si="5"/>
        <v>0.11860110284297176</v>
      </c>
      <c r="W30" s="88">
        <f t="shared" si="6"/>
        <v>0.11860110284297176</v>
      </c>
      <c r="X30" s="88">
        <f t="shared" si="7"/>
        <v>0.11321014362283666</v>
      </c>
      <c r="Y30" s="88">
        <f t="shared" si="8"/>
        <v>0.11321014362283666</v>
      </c>
      <c r="Z30" s="88">
        <f t="shared" si="9"/>
        <v>0.1072201889337977</v>
      </c>
      <c r="AA30" s="88">
        <f t="shared" si="10"/>
        <v>0.1072201889337977</v>
      </c>
      <c r="AB30" s="88">
        <f t="shared" si="11"/>
        <v>0.1072201889337977</v>
      </c>
      <c r="AC30" s="89">
        <f t="shared" si="12"/>
        <v>0.1072201889337977</v>
      </c>
      <c r="AD30" s="43" t="s">
        <v>99</v>
      </c>
      <c r="AE30" s="62" t="str">
        <f t="shared" si="13"/>
        <v>resid lightingelectricityfluorescent</v>
      </c>
      <c r="AH30" s="82"/>
    </row>
    <row r="31" spans="1:34" s="6" customFormat="1" ht="14" customHeight="1" thickBot="1" x14ac:dyDescent="0.25">
      <c r="A31" s="42" t="s">
        <v>73</v>
      </c>
      <c r="B31" s="43" t="s">
        <v>7</v>
      </c>
      <c r="C31" s="43" t="s">
        <v>30</v>
      </c>
      <c r="D31" s="82">
        <v>1.24</v>
      </c>
      <c r="E31" s="82">
        <v>1.24</v>
      </c>
      <c r="F31" s="82">
        <v>1.24</v>
      </c>
      <c r="G31" s="82">
        <v>0.94</v>
      </c>
      <c r="H31" s="82">
        <v>0.63</v>
      </c>
      <c r="I31" s="82">
        <v>0.63</v>
      </c>
      <c r="J31" s="82">
        <v>0.42</v>
      </c>
      <c r="K31" s="82">
        <v>0.42</v>
      </c>
      <c r="L31" s="82">
        <v>0.42</v>
      </c>
      <c r="M31" s="82">
        <v>0.42</v>
      </c>
      <c r="N31" s="81" t="s">
        <v>135</v>
      </c>
      <c r="P31" s="82">
        <v>0.15</v>
      </c>
      <c r="Q31" s="6">
        <f>[1]rsmlgt_AT15!$G$50/8760/0.1</f>
        <v>38.835616438356162</v>
      </c>
      <c r="R31" s="6">
        <f>$R$29</f>
        <v>0.86881680000000006</v>
      </c>
      <c r="S31" s="6" t="s">
        <v>98</v>
      </c>
      <c r="T31" s="88">
        <f t="shared" si="3"/>
        <v>5.9472451526617114E-2</v>
      </c>
      <c r="U31" s="88">
        <f t="shared" si="4"/>
        <v>5.9472451526617114E-2</v>
      </c>
      <c r="V31" s="88">
        <f t="shared" si="5"/>
        <v>5.9472451526617114E-2</v>
      </c>
      <c r="W31" s="88">
        <f t="shared" si="6"/>
        <v>4.5083955189532329E-2</v>
      </c>
      <c r="X31" s="88">
        <f t="shared" si="7"/>
        <v>3.0215842307878049E-2</v>
      </c>
      <c r="Y31" s="88">
        <f t="shared" si="8"/>
        <v>3.0215842307878049E-2</v>
      </c>
      <c r="Z31" s="88">
        <f t="shared" si="9"/>
        <v>2.0143894871918696E-2</v>
      </c>
      <c r="AA31" s="88">
        <f t="shared" si="10"/>
        <v>2.0143894871918696E-2</v>
      </c>
      <c r="AB31" s="88">
        <f t="shared" si="11"/>
        <v>2.0143894871918696E-2</v>
      </c>
      <c r="AC31" s="89">
        <f t="shared" si="12"/>
        <v>2.0143894871918696E-2</v>
      </c>
      <c r="AD31" s="43" t="s">
        <v>99</v>
      </c>
      <c r="AE31" s="62" t="str">
        <f t="shared" si="13"/>
        <v>resid lightingelectricitysolid state</v>
      </c>
      <c r="AH31" s="82"/>
    </row>
    <row r="32" spans="1:34" s="6" customFormat="1" ht="14" customHeight="1" thickBot="1" x14ac:dyDescent="0.25">
      <c r="A32" s="42" t="s">
        <v>74</v>
      </c>
      <c r="B32" s="43" t="s">
        <v>7</v>
      </c>
      <c r="C32" s="43" t="s">
        <v>5</v>
      </c>
      <c r="D32" s="82">
        <v>875</v>
      </c>
      <c r="E32" s="82">
        <v>875</v>
      </c>
      <c r="F32" s="82">
        <v>875</v>
      </c>
      <c r="G32" s="82">
        <v>875</v>
      </c>
      <c r="H32" s="82">
        <v>900</v>
      </c>
      <c r="I32" s="82">
        <v>900</v>
      </c>
      <c r="J32" s="82">
        <v>900</v>
      </c>
      <c r="K32" s="82">
        <v>900</v>
      </c>
      <c r="L32" s="82">
        <v>900</v>
      </c>
      <c r="M32" s="82">
        <v>900</v>
      </c>
      <c r="N32" s="81" t="s">
        <v>135</v>
      </c>
      <c r="P32" s="82">
        <v>0.15</v>
      </c>
      <c r="Q32" s="6">
        <v>10</v>
      </c>
      <c r="R32" s="6">
        <v>392</v>
      </c>
      <c r="S32" s="6" t="s">
        <v>91</v>
      </c>
      <c r="T32" s="88">
        <f t="shared" si="3"/>
        <v>0.12301097382554652</v>
      </c>
      <c r="U32" s="88">
        <f t="shared" si="4"/>
        <v>0.12301097382554652</v>
      </c>
      <c r="V32" s="88">
        <f t="shared" si="5"/>
        <v>0.12301097382554652</v>
      </c>
      <c r="W32" s="88">
        <f t="shared" si="6"/>
        <v>0.12301097382554652</v>
      </c>
      <c r="X32" s="88">
        <f t="shared" si="7"/>
        <v>0.12652557307770501</v>
      </c>
      <c r="Y32" s="88">
        <f t="shared" si="8"/>
        <v>0.12652557307770501</v>
      </c>
      <c r="Z32" s="88">
        <f t="shared" si="9"/>
        <v>0.12652557307770501</v>
      </c>
      <c r="AA32" s="88">
        <f t="shared" si="10"/>
        <v>0.12652557307770501</v>
      </c>
      <c r="AB32" s="88">
        <f t="shared" si="11"/>
        <v>0.12652557307770501</v>
      </c>
      <c r="AC32" s="89">
        <f t="shared" si="12"/>
        <v>0.12652557307770501</v>
      </c>
      <c r="AD32" s="43" t="s">
        <v>97</v>
      </c>
      <c r="AE32" s="62" t="str">
        <f t="shared" si="13"/>
        <v>resid clothes washerselectricityclothes washer</v>
      </c>
      <c r="AH32" s="82"/>
    </row>
    <row r="33" spans="1:34" s="6" customFormat="1" ht="14" customHeight="1" thickBot="1" x14ac:dyDescent="0.25">
      <c r="A33" s="42" t="s">
        <v>74</v>
      </c>
      <c r="B33" s="43" t="s">
        <v>7</v>
      </c>
      <c r="C33" s="43" t="s">
        <v>6</v>
      </c>
      <c r="D33" s="82">
        <v>875</v>
      </c>
      <c r="E33" s="82">
        <v>875</v>
      </c>
      <c r="F33" s="82">
        <v>875</v>
      </c>
      <c r="G33" s="82">
        <v>875</v>
      </c>
      <c r="H33" s="82">
        <v>900</v>
      </c>
      <c r="I33" s="82">
        <v>900</v>
      </c>
      <c r="J33" s="82">
        <v>900</v>
      </c>
      <c r="K33" s="82">
        <v>900</v>
      </c>
      <c r="L33" s="82">
        <v>900</v>
      </c>
      <c r="M33" s="82">
        <v>900</v>
      </c>
      <c r="N33" s="81" t="s">
        <v>135</v>
      </c>
      <c r="P33" s="82">
        <v>0.15</v>
      </c>
      <c r="Q33" s="6">
        <v>10</v>
      </c>
      <c r="R33" s="6">
        <v>392</v>
      </c>
      <c r="S33" s="6" t="s">
        <v>91</v>
      </c>
      <c r="T33" s="88">
        <f t="shared" si="3"/>
        <v>0.12301097382554652</v>
      </c>
      <c r="U33" s="88">
        <f t="shared" si="4"/>
        <v>0.12301097382554652</v>
      </c>
      <c r="V33" s="88">
        <f t="shared" si="5"/>
        <v>0.12301097382554652</v>
      </c>
      <c r="W33" s="88">
        <f t="shared" si="6"/>
        <v>0.12301097382554652</v>
      </c>
      <c r="X33" s="88">
        <f t="shared" si="7"/>
        <v>0.12652557307770501</v>
      </c>
      <c r="Y33" s="88">
        <f t="shared" si="8"/>
        <v>0.12652557307770501</v>
      </c>
      <c r="Z33" s="88">
        <f t="shared" si="9"/>
        <v>0.12652557307770501</v>
      </c>
      <c r="AA33" s="88">
        <f t="shared" si="10"/>
        <v>0.12652557307770501</v>
      </c>
      <c r="AB33" s="88">
        <f t="shared" si="11"/>
        <v>0.12652557307770501</v>
      </c>
      <c r="AC33" s="89">
        <f t="shared" si="12"/>
        <v>0.12652557307770501</v>
      </c>
      <c r="AD33" s="43" t="s">
        <v>97</v>
      </c>
      <c r="AE33" s="62" t="str">
        <f t="shared" si="13"/>
        <v>resid clothes washerselectricityclothes washer hi-eff</v>
      </c>
      <c r="AH33" s="82"/>
    </row>
    <row r="34" spans="1:34" s="6" customFormat="1" ht="14" customHeight="1" thickBot="1" x14ac:dyDescent="0.25">
      <c r="A34" s="42" t="s">
        <v>75</v>
      </c>
      <c r="B34" s="43" t="s">
        <v>7</v>
      </c>
      <c r="C34" s="43" t="s">
        <v>11</v>
      </c>
      <c r="D34" s="82">
        <v>485</v>
      </c>
      <c r="E34" s="82">
        <v>485</v>
      </c>
      <c r="F34" s="82">
        <v>485</v>
      </c>
      <c r="G34" s="82">
        <v>485</v>
      </c>
      <c r="H34" s="82">
        <v>485</v>
      </c>
      <c r="I34" s="82">
        <v>485</v>
      </c>
      <c r="J34" s="82">
        <v>485</v>
      </c>
      <c r="K34" s="82">
        <v>485</v>
      </c>
      <c r="L34" s="82">
        <v>485</v>
      </c>
      <c r="M34" s="82">
        <v>485</v>
      </c>
      <c r="N34" s="81" t="s">
        <v>135</v>
      </c>
      <c r="P34" s="82">
        <v>0.15</v>
      </c>
      <c r="Q34" s="82">
        <v>12.6</v>
      </c>
      <c r="R34" s="6">
        <v>215</v>
      </c>
      <c r="S34" s="6" t="s">
        <v>91</v>
      </c>
      <c r="T34" s="88">
        <f t="shared" si="3"/>
        <v>0.11300991433991581</v>
      </c>
      <c r="U34" s="88">
        <f t="shared" si="4"/>
        <v>0.11300991433991581</v>
      </c>
      <c r="V34" s="88">
        <f t="shared" si="5"/>
        <v>0.11300991433991581</v>
      </c>
      <c r="W34" s="88">
        <f t="shared" si="6"/>
        <v>0.11300991433991581</v>
      </c>
      <c r="X34" s="88">
        <f t="shared" si="7"/>
        <v>0.11300991433991581</v>
      </c>
      <c r="Y34" s="88">
        <f t="shared" si="8"/>
        <v>0.11300991433991581</v>
      </c>
      <c r="Z34" s="88">
        <f t="shared" si="9"/>
        <v>0.11300991433991581</v>
      </c>
      <c r="AA34" s="88">
        <f t="shared" si="10"/>
        <v>0.11300991433991581</v>
      </c>
      <c r="AB34" s="88">
        <f t="shared" si="11"/>
        <v>0.11300991433991581</v>
      </c>
      <c r="AC34" s="89">
        <f t="shared" si="12"/>
        <v>0.11300991433991581</v>
      </c>
      <c r="AD34" s="43" t="s">
        <v>97</v>
      </c>
      <c r="AE34" s="62" t="str">
        <f t="shared" si="13"/>
        <v>resid dishwasherselectricitydishwasher</v>
      </c>
      <c r="AH34" s="82"/>
    </row>
    <row r="35" spans="1:34" s="6" customFormat="1" ht="14" customHeight="1" x14ac:dyDescent="0.2">
      <c r="A35" s="42" t="s">
        <v>75</v>
      </c>
      <c r="B35" s="43" t="s">
        <v>7</v>
      </c>
      <c r="C35" s="43" t="s">
        <v>12</v>
      </c>
      <c r="D35" s="82">
        <v>485</v>
      </c>
      <c r="E35" s="82">
        <v>485</v>
      </c>
      <c r="F35" s="82">
        <v>485</v>
      </c>
      <c r="G35" s="82">
        <v>485</v>
      </c>
      <c r="H35" s="82">
        <v>485</v>
      </c>
      <c r="I35" s="82">
        <v>485</v>
      </c>
      <c r="J35" s="82">
        <v>485</v>
      </c>
      <c r="K35" s="82">
        <v>485</v>
      </c>
      <c r="L35" s="82">
        <v>485</v>
      </c>
      <c r="M35" s="82">
        <v>485</v>
      </c>
      <c r="N35" s="81" t="s">
        <v>135</v>
      </c>
      <c r="P35" s="82">
        <v>0.15</v>
      </c>
      <c r="Q35" s="82">
        <v>12.6</v>
      </c>
      <c r="R35" s="6">
        <v>215</v>
      </c>
      <c r="S35" s="6" t="s">
        <v>91</v>
      </c>
      <c r="T35" s="88">
        <f t="shared" si="3"/>
        <v>0.11300991433991581</v>
      </c>
      <c r="U35" s="88">
        <f t="shared" si="4"/>
        <v>0.11300991433991581</v>
      </c>
      <c r="V35" s="88">
        <f t="shared" si="5"/>
        <v>0.11300991433991581</v>
      </c>
      <c r="W35" s="88">
        <f t="shared" si="6"/>
        <v>0.11300991433991581</v>
      </c>
      <c r="X35" s="88">
        <f t="shared" si="7"/>
        <v>0.11300991433991581</v>
      </c>
      <c r="Y35" s="88">
        <f t="shared" si="8"/>
        <v>0.11300991433991581</v>
      </c>
      <c r="Z35" s="88">
        <f t="shared" si="9"/>
        <v>0.11300991433991581</v>
      </c>
      <c r="AA35" s="88">
        <f t="shared" si="10"/>
        <v>0.11300991433991581</v>
      </c>
      <c r="AB35" s="88">
        <f t="shared" si="11"/>
        <v>0.11300991433991581</v>
      </c>
      <c r="AC35" s="89">
        <f t="shared" si="12"/>
        <v>0.11300991433991581</v>
      </c>
      <c r="AD35" s="43" t="s">
        <v>97</v>
      </c>
      <c r="AE35" s="62" t="str">
        <f t="shared" si="13"/>
        <v>resid dishwasherselectricitydishwasher hi-eff</v>
      </c>
      <c r="AH35" s="82"/>
    </row>
    <row r="36" spans="1:34" s="6" customFormat="1" ht="14" customHeight="1" x14ac:dyDescent="0.2">
      <c r="A36" s="42" t="s">
        <v>80</v>
      </c>
      <c r="B36" s="43" t="s">
        <v>7</v>
      </c>
      <c r="C36" s="43" t="s">
        <v>7</v>
      </c>
      <c r="M36" s="34"/>
      <c r="N36" s="43"/>
    </row>
    <row r="37" spans="1:34" s="6" customFormat="1" ht="14" customHeight="1" x14ac:dyDescent="0.2">
      <c r="A37" s="42" t="s">
        <v>81</v>
      </c>
      <c r="B37" s="43" t="s">
        <v>7</v>
      </c>
      <c r="C37" s="43" t="s">
        <v>7</v>
      </c>
      <c r="M37" s="34"/>
      <c r="N37" s="43"/>
    </row>
    <row r="38" spans="1:34" s="6" customFormat="1" ht="14" customHeight="1" x14ac:dyDescent="0.2">
      <c r="A38" s="90" t="s">
        <v>82</v>
      </c>
      <c r="B38" s="91" t="s">
        <v>7</v>
      </c>
      <c r="C38" s="91" t="s">
        <v>7</v>
      </c>
      <c r="M38" s="34"/>
      <c r="N38" s="91"/>
    </row>
    <row r="39" spans="1:34" s="6" customFormat="1" ht="14" customHeight="1" x14ac:dyDescent="0.2">
      <c r="A39" s="90" t="s">
        <v>83</v>
      </c>
      <c r="B39" s="91" t="s">
        <v>31</v>
      </c>
      <c r="C39" s="91" t="s">
        <v>31</v>
      </c>
      <c r="M39" s="34"/>
      <c r="N39" s="91"/>
    </row>
    <row r="40" spans="1:34" s="6" customFormat="1" ht="14" customHeight="1" x14ac:dyDescent="0.2">
      <c r="A40" s="90" t="s">
        <v>83</v>
      </c>
      <c r="B40" s="91" t="s">
        <v>7</v>
      </c>
      <c r="C40" s="91" t="s">
        <v>7</v>
      </c>
      <c r="M40" s="34"/>
      <c r="N40" s="91"/>
    </row>
    <row r="41" spans="1:34" s="82" customFormat="1" ht="14" customHeight="1" thickBot="1" x14ac:dyDescent="0.25">
      <c r="A41" s="92" t="s">
        <v>83</v>
      </c>
      <c r="B41" s="93" t="s">
        <v>8</v>
      </c>
      <c r="C41" s="93" t="s">
        <v>8</v>
      </c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93"/>
    </row>
    <row r="43" spans="1:34" ht="16" x14ac:dyDescent="0.2">
      <c r="A43" s="97" t="s">
        <v>148</v>
      </c>
      <c r="B43">
        <f>107.749/117.784</f>
        <v>0.91480167085512454</v>
      </c>
    </row>
    <row r="45" spans="1:34" x14ac:dyDescent="0.2">
      <c r="B45" t="s">
        <v>146</v>
      </c>
      <c r="C45" s="96" t="s">
        <v>147</v>
      </c>
    </row>
    <row r="46" spans="1:34" x14ac:dyDescent="0.2">
      <c r="A46" t="s">
        <v>145</v>
      </c>
      <c r="B46">
        <v>1750</v>
      </c>
      <c r="C46">
        <f>B46*$B$43</f>
        <v>1600.902923996468</v>
      </c>
    </row>
    <row r="47" spans="1:34" x14ac:dyDescent="0.2">
      <c r="A47" t="s">
        <v>149</v>
      </c>
      <c r="B47">
        <v>8000</v>
      </c>
      <c r="C47">
        <f>B47*$B$43/2</f>
        <v>3659.2066834204979</v>
      </c>
      <c r="D47" t="s">
        <v>150</v>
      </c>
    </row>
    <row r="48" spans="1:34" x14ac:dyDescent="0.2">
      <c r="A48" t="s">
        <v>151</v>
      </c>
      <c r="B48">
        <v>840</v>
      </c>
      <c r="C48">
        <f>B48*$B$43/2</f>
        <v>384.21670175915233</v>
      </c>
      <c r="D48" t="s">
        <v>152</v>
      </c>
    </row>
    <row r="49" spans="1:4" x14ac:dyDescent="0.2">
      <c r="A49" t="s">
        <v>153</v>
      </c>
      <c r="B49">
        <v>4000</v>
      </c>
      <c r="C49" t="s">
        <v>154</v>
      </c>
    </row>
    <row r="50" spans="1:4" x14ac:dyDescent="0.2">
      <c r="A50" t="s">
        <v>155</v>
      </c>
      <c r="B50">
        <v>1600</v>
      </c>
      <c r="C50">
        <f>B50*$B$43</f>
        <v>1463.6826733681992</v>
      </c>
      <c r="D50" t="s">
        <v>156</v>
      </c>
    </row>
    <row r="51" spans="1:4" x14ac:dyDescent="0.2">
      <c r="A51" t="s">
        <v>157</v>
      </c>
      <c r="B51">
        <v>2500</v>
      </c>
      <c r="C51" t="s">
        <v>154</v>
      </c>
    </row>
  </sheetData>
  <autoFilter ref="A2:AK41" xr:uid="{00000000-0001-0000-0000-000000000000}">
    <sortState xmlns:xlrd2="http://schemas.microsoft.com/office/spreadsheetml/2017/richdata2" ref="A5:AK40">
      <sortCondition ref="B2:B41"/>
    </sortState>
  </autoFilter>
  <pageMargins left="0.7" right="0.7" top="0.75" bottom="0.75" header="0.3" footer="0.3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"/>
  <sheetViews>
    <sheetView zoomScaleNormal="100" workbookViewId="0">
      <selection activeCell="A47" sqref="A47"/>
    </sheetView>
  </sheetViews>
  <sheetFormatPr baseColWidth="10" defaultColWidth="8.83203125" defaultRowHeight="15" x14ac:dyDescent="0.2"/>
  <cols>
    <col min="1" max="1" width="16" bestFit="1" customWidth="1"/>
    <col min="2" max="2" width="14.1640625" bestFit="1" customWidth="1"/>
    <col min="3" max="3" width="30" bestFit="1" customWidth="1"/>
    <col min="4" max="13" width="6.6640625" customWidth="1"/>
    <col min="14" max="14" width="9.33203125" customWidth="1"/>
    <col min="18" max="18" width="10.6640625" bestFit="1" customWidth="1"/>
    <col min="19" max="19" width="19.33203125" bestFit="1" customWidth="1"/>
    <col min="30" max="30" width="14.5" bestFit="1" customWidth="1"/>
    <col min="31" max="31" width="48.83203125" bestFit="1" customWidth="1"/>
  </cols>
  <sheetData>
    <row r="1" spans="1:37" ht="16" thickBot="1" x14ac:dyDescent="0.25">
      <c r="D1" t="s">
        <v>86</v>
      </c>
      <c r="R1" t="s">
        <v>94</v>
      </c>
      <c r="T1" t="s">
        <v>87</v>
      </c>
      <c r="AE1">
        <v>0.27657890000000002</v>
      </c>
      <c r="AF1" t="s">
        <v>132</v>
      </c>
      <c r="AJ1">
        <v>0.2851052</v>
      </c>
      <c r="AK1" t="s">
        <v>133</v>
      </c>
    </row>
    <row r="2" spans="1:37" ht="14" customHeight="1" thickBot="1" x14ac:dyDescent="0.25">
      <c r="A2" s="26" t="s">
        <v>1</v>
      </c>
      <c r="B2" s="16" t="s">
        <v>2</v>
      </c>
      <c r="C2" s="16" t="s">
        <v>0</v>
      </c>
      <c r="D2" s="15">
        <v>2010</v>
      </c>
      <c r="E2" s="8">
        <v>2015</v>
      </c>
      <c r="F2" s="8">
        <v>2020</v>
      </c>
      <c r="G2" s="8">
        <v>2025</v>
      </c>
      <c r="H2" s="8">
        <v>2030</v>
      </c>
      <c r="I2" s="8">
        <v>2035</v>
      </c>
      <c r="J2" s="8">
        <v>2040</v>
      </c>
      <c r="K2" s="73">
        <v>2045</v>
      </c>
      <c r="L2" s="73">
        <v>2050</v>
      </c>
      <c r="M2" s="9">
        <v>2100</v>
      </c>
      <c r="N2" s="16" t="s">
        <v>34</v>
      </c>
      <c r="P2" t="s">
        <v>84</v>
      </c>
      <c r="Q2" t="s">
        <v>85</v>
      </c>
      <c r="R2" t="s">
        <v>95</v>
      </c>
      <c r="S2" t="s">
        <v>88</v>
      </c>
      <c r="T2" s="15">
        <v>2010</v>
      </c>
      <c r="U2" s="8">
        <v>2015</v>
      </c>
      <c r="V2" s="8">
        <v>2020</v>
      </c>
      <c r="W2" s="8">
        <v>2025</v>
      </c>
      <c r="X2" s="8">
        <v>2030</v>
      </c>
      <c r="Y2" s="8">
        <v>2035</v>
      </c>
      <c r="Z2" s="8">
        <v>2040</v>
      </c>
      <c r="AA2" s="73">
        <v>2045</v>
      </c>
      <c r="AB2" s="73">
        <v>2050</v>
      </c>
      <c r="AC2" s="9">
        <v>2100</v>
      </c>
      <c r="AD2" s="16" t="s">
        <v>34</v>
      </c>
      <c r="AE2" t="s">
        <v>109</v>
      </c>
      <c r="AJ2">
        <v>0.27012520000000001</v>
      </c>
      <c r="AK2" t="s">
        <v>134</v>
      </c>
    </row>
    <row r="3" spans="1:37" s="82" customFormat="1" ht="14" customHeight="1" thickBot="1" x14ac:dyDescent="0.25">
      <c r="A3" s="80" t="s">
        <v>70</v>
      </c>
      <c r="B3" s="81" t="s">
        <v>31</v>
      </c>
      <c r="C3" s="81" t="s">
        <v>15</v>
      </c>
      <c r="D3" s="82">
        <v>2497.4940396257698</v>
      </c>
      <c r="E3" s="82">
        <v>2497.4940396257698</v>
      </c>
      <c r="F3" s="82">
        <v>2497.4940396257698</v>
      </c>
      <c r="G3" s="82">
        <v>2497.4940396257698</v>
      </c>
      <c r="H3" s="82">
        <v>2497.4940396257698</v>
      </c>
      <c r="I3" s="82">
        <v>2497.4940396257698</v>
      </c>
      <c r="J3" s="82">
        <v>2497.4940396257698</v>
      </c>
      <c r="K3" s="82">
        <v>2497.4940396257698</v>
      </c>
      <c r="L3" s="82">
        <v>2497.4940396257698</v>
      </c>
      <c r="M3" s="82">
        <v>2497.4940396257698</v>
      </c>
      <c r="N3" s="81" t="s">
        <v>135</v>
      </c>
      <c r="P3" s="82">
        <v>0.15</v>
      </c>
      <c r="Q3" s="82">
        <v>18.399999999999999</v>
      </c>
      <c r="R3" s="82">
        <v>42</v>
      </c>
      <c r="S3" s="82" t="s">
        <v>89</v>
      </c>
      <c r="T3" s="83">
        <f>-PMT($P3,$Q3,D3)*$AE$1/$R3</f>
        <v>2.6710808958830743</v>
      </c>
      <c r="U3" s="83">
        <f t="shared" ref="U3:U4" si="0">-PMT($P3,$Q3,E3)*$AE$1/$R3</f>
        <v>2.6710808958830743</v>
      </c>
      <c r="V3" s="83">
        <f t="shared" ref="V3:V4" si="1">-PMT($P3,$Q3,F3)*$AE$1/$R3</f>
        <v>2.6710808958830743</v>
      </c>
      <c r="W3" s="83">
        <f t="shared" ref="W3:W4" si="2">-PMT($P3,$Q3,G3)*$AE$1/$R3</f>
        <v>2.6710808958830743</v>
      </c>
      <c r="X3" s="83">
        <f t="shared" ref="X3:X4" si="3">-PMT($P3,$Q3,H3)*$AE$1/$R3</f>
        <v>2.6710808958830743</v>
      </c>
      <c r="Y3" s="83">
        <f t="shared" ref="Y3:Y4" si="4">-PMT($P3,$Q3,I3)*$AE$1/$R3</f>
        <v>2.6710808958830743</v>
      </c>
      <c r="Z3" s="83">
        <f t="shared" ref="Z3:Z4" si="5">-PMT($P3,$Q3,J3)*$AE$1/$R3</f>
        <v>2.6710808958830743</v>
      </c>
      <c r="AA3" s="83">
        <f t="shared" ref="AA3:AA4" si="6">-PMT($P3,$Q3,K3)*$AE$1/$R3</f>
        <v>2.6710808958830743</v>
      </c>
      <c r="AB3" s="83">
        <f t="shared" ref="AB3:AB4" si="7">-PMT($P3,$Q3,L3)*$AE$1/$R3</f>
        <v>2.6710808958830743</v>
      </c>
      <c r="AC3" s="84">
        <f t="shared" ref="AC3:AC4" si="8">-PMT($P3,$Q3,M3)*$AE$1/$R3</f>
        <v>2.6710808958830743</v>
      </c>
      <c r="AD3" s="81" t="s">
        <v>96</v>
      </c>
      <c r="AE3" s="62" t="str">
        <f>A3&amp;B3&amp;C3</f>
        <v>resid heatinggasgas furnace</v>
      </c>
    </row>
    <row r="4" spans="1:37" s="82" customFormat="1" ht="14" customHeight="1" thickBot="1" x14ac:dyDescent="0.25">
      <c r="A4" s="42" t="s">
        <v>70</v>
      </c>
      <c r="B4" s="43" t="s">
        <v>31</v>
      </c>
      <c r="C4" s="43" t="s">
        <v>16</v>
      </c>
      <c r="D4" s="82">
        <v>2668</v>
      </c>
      <c r="E4" s="82">
        <v>2668</v>
      </c>
      <c r="F4" s="82">
        <v>2668</v>
      </c>
      <c r="G4" s="82">
        <v>2668</v>
      </c>
      <c r="H4" s="82">
        <v>2668</v>
      </c>
      <c r="I4" s="82">
        <v>2668</v>
      </c>
      <c r="J4" s="82">
        <v>2668</v>
      </c>
      <c r="K4" s="82">
        <v>2668</v>
      </c>
      <c r="L4" s="82">
        <v>2668</v>
      </c>
      <c r="M4" s="82">
        <v>2668</v>
      </c>
      <c r="N4" s="81" t="s">
        <v>135</v>
      </c>
      <c r="P4" s="82">
        <v>0.15</v>
      </c>
      <c r="Q4" s="82">
        <v>18.399999999999999</v>
      </c>
      <c r="R4" s="82">
        <v>42</v>
      </c>
      <c r="S4" s="82" t="s">
        <v>89</v>
      </c>
      <c r="T4" s="62">
        <f t="shared" ref="T4" si="9">-PMT($P4,$Q4,D4)*$AE$1/$R4</f>
        <v>2.8534377728820863</v>
      </c>
      <c r="U4" s="62">
        <f t="shared" si="0"/>
        <v>2.8534377728820863</v>
      </c>
      <c r="V4" s="62">
        <f t="shared" si="1"/>
        <v>2.8534377728820863</v>
      </c>
      <c r="W4" s="62">
        <f t="shared" si="2"/>
        <v>2.8534377728820863</v>
      </c>
      <c r="X4" s="62">
        <f t="shared" si="3"/>
        <v>2.8534377728820863</v>
      </c>
      <c r="Y4" s="62">
        <f t="shared" si="4"/>
        <v>2.8534377728820863</v>
      </c>
      <c r="Z4" s="62">
        <f t="shared" si="5"/>
        <v>2.8534377728820863</v>
      </c>
      <c r="AA4" s="62">
        <f t="shared" si="6"/>
        <v>2.8534377728820863</v>
      </c>
      <c r="AB4" s="62">
        <f t="shared" si="7"/>
        <v>2.8534377728820863</v>
      </c>
      <c r="AC4" s="85">
        <f t="shared" si="8"/>
        <v>2.8534377728820863</v>
      </c>
      <c r="AD4" s="43" t="s">
        <v>96</v>
      </c>
      <c r="AE4" s="62" t="str">
        <f t="shared" ref="AE4" si="10">A4&amp;B4&amp;C4</f>
        <v>resid heatinggasgas furnace hi-eff</v>
      </c>
    </row>
    <row r="5" spans="1:37" s="82" customFormat="1" ht="14" customHeight="1" thickBot="1" x14ac:dyDescent="0.25">
      <c r="A5" s="43" t="s">
        <v>70</v>
      </c>
      <c r="B5" s="43" t="s">
        <v>7</v>
      </c>
      <c r="C5" s="43" t="s">
        <v>17</v>
      </c>
      <c r="D5" s="82">
        <v>1100</v>
      </c>
      <c r="E5" s="82">
        <v>1100</v>
      </c>
      <c r="F5" s="82">
        <v>1100</v>
      </c>
      <c r="G5" s="82">
        <v>1100</v>
      </c>
      <c r="H5" s="82">
        <v>1100</v>
      </c>
      <c r="I5" s="82">
        <v>1100</v>
      </c>
      <c r="J5" s="82">
        <v>1100</v>
      </c>
      <c r="K5" s="82">
        <v>1100</v>
      </c>
      <c r="L5" s="82">
        <v>1100</v>
      </c>
      <c r="M5" s="82">
        <v>1100</v>
      </c>
      <c r="N5" s="81" t="s">
        <v>135</v>
      </c>
      <c r="P5" s="82">
        <v>0.15</v>
      </c>
      <c r="Q5" s="82">
        <v>18.399999999999999</v>
      </c>
      <c r="R5" s="82">
        <v>42</v>
      </c>
      <c r="S5" s="82" t="s">
        <v>89</v>
      </c>
      <c r="T5" s="62">
        <f t="shared" ref="T5:T35" si="11">-PMT($P5,$Q5,D5)*$AE$1/$R5</f>
        <v>1.1764548538869175</v>
      </c>
      <c r="U5" s="62">
        <f t="shared" ref="U5:U35" si="12">-PMT($P5,$Q5,E5)*$AE$1/$R5</f>
        <v>1.1764548538869175</v>
      </c>
      <c r="V5" s="62">
        <f t="shared" ref="V5:V35" si="13">-PMT($P5,$Q5,F5)*$AE$1/$R5</f>
        <v>1.1764548538869175</v>
      </c>
      <c r="W5" s="62">
        <f t="shared" ref="W5:W35" si="14">-PMT($P5,$Q5,G5)*$AE$1/$R5</f>
        <v>1.1764548538869175</v>
      </c>
      <c r="X5" s="62">
        <f t="shared" ref="X5:X35" si="15">-PMT($P5,$Q5,H5)*$AE$1/$R5</f>
        <v>1.1764548538869175</v>
      </c>
      <c r="Y5" s="62">
        <f t="shared" ref="Y5:Y35" si="16">-PMT($P5,$Q5,I5)*$AE$1/$R5</f>
        <v>1.1764548538869175</v>
      </c>
      <c r="Z5" s="62">
        <f t="shared" ref="Z5:Z35" si="17">-PMT($P5,$Q5,J5)*$AE$1/$R5</f>
        <v>1.1764548538869175</v>
      </c>
      <c r="AA5" s="62">
        <f t="shared" ref="AA5:AA35" si="18">-PMT($P5,$Q5,K5)*$AE$1/$R5</f>
        <v>1.1764548538869175</v>
      </c>
      <c r="AB5" s="62">
        <f t="shared" ref="AB5:AB35" si="19">-PMT($P5,$Q5,L5)*$AE$1/$R5</f>
        <v>1.1764548538869175</v>
      </c>
      <c r="AC5" s="85">
        <f t="shared" ref="AC5:AC35" si="20">-PMT($P5,$Q5,M5)*$AE$1/$R5</f>
        <v>1.1764548538869175</v>
      </c>
      <c r="AD5" s="43" t="s">
        <v>96</v>
      </c>
      <c r="AE5" s="62" t="str">
        <f t="shared" ref="AE5:AE35" si="21">A5&amp;B5&amp;C5</f>
        <v>resid heatingelectricityelectric furnace</v>
      </c>
    </row>
    <row r="6" spans="1:37" s="82" customFormat="1" ht="14" customHeight="1" thickBot="1" x14ac:dyDescent="0.25">
      <c r="A6" s="42" t="s">
        <v>70</v>
      </c>
      <c r="B6" s="43" t="s">
        <v>7</v>
      </c>
      <c r="C6" s="43" t="s">
        <v>18</v>
      </c>
      <c r="D6" s="82">
        <v>6100</v>
      </c>
      <c r="E6" s="82">
        <v>6100</v>
      </c>
      <c r="F6" s="82">
        <v>6100</v>
      </c>
      <c r="G6" s="82">
        <v>6100</v>
      </c>
      <c r="H6" s="82">
        <v>6100</v>
      </c>
      <c r="I6" s="82">
        <v>6100</v>
      </c>
      <c r="J6" s="82">
        <v>6100</v>
      </c>
      <c r="K6" s="82">
        <v>6100</v>
      </c>
      <c r="L6" s="82">
        <v>6100</v>
      </c>
      <c r="M6" s="82">
        <v>6100</v>
      </c>
      <c r="N6" s="81" t="s">
        <v>135</v>
      </c>
      <c r="P6" s="82">
        <v>0.15</v>
      </c>
      <c r="Q6" s="82">
        <v>18.399999999999999</v>
      </c>
      <c r="R6" s="82">
        <v>42</v>
      </c>
      <c r="S6" s="82" t="s">
        <v>89</v>
      </c>
      <c r="T6" s="62">
        <f t="shared" si="11"/>
        <v>6.5239769170092687</v>
      </c>
      <c r="U6" s="62">
        <f t="shared" si="12"/>
        <v>6.5239769170092687</v>
      </c>
      <c r="V6" s="62">
        <f t="shared" si="13"/>
        <v>6.5239769170092687</v>
      </c>
      <c r="W6" s="62">
        <f t="shared" si="14"/>
        <v>6.5239769170092687</v>
      </c>
      <c r="X6" s="62">
        <f t="shared" si="15"/>
        <v>6.5239769170092687</v>
      </c>
      <c r="Y6" s="62">
        <f t="shared" si="16"/>
        <v>6.5239769170092687</v>
      </c>
      <c r="Z6" s="62">
        <f t="shared" si="17"/>
        <v>6.5239769170092687</v>
      </c>
      <c r="AA6" s="62">
        <f t="shared" si="18"/>
        <v>6.5239769170092687</v>
      </c>
      <c r="AB6" s="62">
        <f t="shared" si="19"/>
        <v>6.5239769170092687</v>
      </c>
      <c r="AC6" s="85">
        <f t="shared" si="20"/>
        <v>6.5239769170092687</v>
      </c>
      <c r="AD6" s="43" t="s">
        <v>96</v>
      </c>
      <c r="AE6" s="62" t="str">
        <f t="shared" si="21"/>
        <v>resid heatingelectricityelectric heat pump</v>
      </c>
    </row>
    <row r="7" spans="1:37" s="82" customFormat="1" ht="14" customHeight="1" thickBot="1" x14ac:dyDescent="0.25">
      <c r="A7" s="42" t="s">
        <v>70</v>
      </c>
      <c r="B7" s="43" t="s">
        <v>8</v>
      </c>
      <c r="C7" s="43" t="s">
        <v>19</v>
      </c>
      <c r="D7" s="82">
        <v>4225</v>
      </c>
      <c r="E7" s="82">
        <v>4225</v>
      </c>
      <c r="F7" s="82">
        <v>4225</v>
      </c>
      <c r="G7" s="82">
        <v>4225</v>
      </c>
      <c r="H7" s="82">
        <v>4225</v>
      </c>
      <c r="I7" s="82">
        <v>4225</v>
      </c>
      <c r="J7" s="82">
        <v>4225</v>
      </c>
      <c r="K7" s="82">
        <v>4225</v>
      </c>
      <c r="L7" s="82">
        <v>4225</v>
      </c>
      <c r="M7" s="82">
        <v>4225</v>
      </c>
      <c r="N7" s="81" t="s">
        <v>135</v>
      </c>
      <c r="P7" s="82">
        <v>0.15</v>
      </c>
      <c r="Q7" s="82">
        <v>18.399999999999999</v>
      </c>
      <c r="R7" s="82">
        <v>42</v>
      </c>
      <c r="S7" s="82" t="s">
        <v>89</v>
      </c>
      <c r="T7" s="62">
        <f t="shared" si="11"/>
        <v>4.5186561433383865</v>
      </c>
      <c r="U7" s="62">
        <f t="shared" si="12"/>
        <v>4.5186561433383865</v>
      </c>
      <c r="V7" s="62">
        <f t="shared" si="13"/>
        <v>4.5186561433383865</v>
      </c>
      <c r="W7" s="62">
        <f t="shared" si="14"/>
        <v>4.5186561433383865</v>
      </c>
      <c r="X7" s="62">
        <f t="shared" si="15"/>
        <v>4.5186561433383865</v>
      </c>
      <c r="Y7" s="62">
        <f t="shared" si="16"/>
        <v>4.5186561433383865</v>
      </c>
      <c r="Z7" s="62">
        <f t="shared" si="17"/>
        <v>4.5186561433383865</v>
      </c>
      <c r="AA7" s="62">
        <f t="shared" si="18"/>
        <v>4.5186561433383865</v>
      </c>
      <c r="AB7" s="62">
        <f t="shared" si="19"/>
        <v>4.5186561433383865</v>
      </c>
      <c r="AC7" s="85">
        <f t="shared" si="20"/>
        <v>4.5186561433383865</v>
      </c>
      <c r="AD7" s="43" t="s">
        <v>96</v>
      </c>
      <c r="AE7" s="62" t="str">
        <f t="shared" si="21"/>
        <v>resid heatingrefined liquidsfuel furnace</v>
      </c>
    </row>
    <row r="8" spans="1:37" s="82" customFormat="1" ht="14" customHeight="1" thickBot="1" x14ac:dyDescent="0.25">
      <c r="A8" s="42" t="s">
        <v>70</v>
      </c>
      <c r="B8" s="43" t="s">
        <v>8</v>
      </c>
      <c r="C8" s="43" t="s">
        <v>20</v>
      </c>
      <c r="D8" s="82">
        <v>4350</v>
      </c>
      <c r="E8" s="82">
        <v>4350</v>
      </c>
      <c r="F8" s="82">
        <v>4350</v>
      </c>
      <c r="G8" s="82">
        <v>4350</v>
      </c>
      <c r="H8" s="82">
        <v>4350</v>
      </c>
      <c r="I8" s="82">
        <v>4350</v>
      </c>
      <c r="J8" s="82">
        <v>4350</v>
      </c>
      <c r="K8" s="82">
        <v>4350</v>
      </c>
      <c r="L8" s="82">
        <v>4350</v>
      </c>
      <c r="M8" s="82">
        <v>4350</v>
      </c>
      <c r="N8" s="81" t="s">
        <v>135</v>
      </c>
      <c r="P8" s="82">
        <v>0.15</v>
      </c>
      <c r="Q8" s="82">
        <v>18.399999999999999</v>
      </c>
      <c r="R8" s="82">
        <v>42</v>
      </c>
      <c r="S8" s="82" t="s">
        <v>89</v>
      </c>
      <c r="T8" s="62">
        <f t="shared" si="11"/>
        <v>4.6523441949164459</v>
      </c>
      <c r="U8" s="62">
        <f t="shared" si="12"/>
        <v>4.6523441949164459</v>
      </c>
      <c r="V8" s="62">
        <f t="shared" si="13"/>
        <v>4.6523441949164459</v>
      </c>
      <c r="W8" s="62">
        <f t="shared" si="14"/>
        <v>4.6523441949164459</v>
      </c>
      <c r="X8" s="62">
        <f t="shared" si="15"/>
        <v>4.6523441949164459</v>
      </c>
      <c r="Y8" s="62">
        <f t="shared" si="16"/>
        <v>4.6523441949164459</v>
      </c>
      <c r="Z8" s="62">
        <f t="shared" si="17"/>
        <v>4.6523441949164459</v>
      </c>
      <c r="AA8" s="62">
        <f t="shared" si="18"/>
        <v>4.6523441949164459</v>
      </c>
      <c r="AB8" s="62">
        <f t="shared" si="19"/>
        <v>4.6523441949164459</v>
      </c>
      <c r="AC8" s="85">
        <f t="shared" si="20"/>
        <v>4.6523441949164459</v>
      </c>
      <c r="AD8" s="43" t="s">
        <v>96</v>
      </c>
      <c r="AE8" s="62" t="str">
        <f t="shared" si="21"/>
        <v>resid heatingrefined liquidsfuel furnace hi-eff</v>
      </c>
    </row>
    <row r="9" spans="1:37" s="82" customFormat="1" ht="14" customHeight="1" thickBot="1" x14ac:dyDescent="0.25">
      <c r="A9" s="42" t="s">
        <v>71</v>
      </c>
      <c r="B9" s="43" t="s">
        <v>7</v>
      </c>
      <c r="C9" s="43" t="s">
        <v>9</v>
      </c>
      <c r="D9" s="82">
        <v>3680.27682182636</v>
      </c>
      <c r="E9" s="82">
        <v>3680.27682182636</v>
      </c>
      <c r="F9" s="82">
        <v>3680.27682182636</v>
      </c>
      <c r="G9" s="82">
        <v>3942.2145746108599</v>
      </c>
      <c r="H9" s="82">
        <v>3942.2145746108599</v>
      </c>
      <c r="I9" s="82">
        <v>3942.2145746108599</v>
      </c>
      <c r="J9" s="82">
        <v>3942.2145746108599</v>
      </c>
      <c r="K9" s="82">
        <v>3942.2145746108599</v>
      </c>
      <c r="L9" s="82">
        <v>3942.2145746108599</v>
      </c>
      <c r="M9" s="82">
        <v>3942.2145746108599</v>
      </c>
      <c r="N9" s="81" t="s">
        <v>135</v>
      </c>
      <c r="P9" s="82">
        <v>0.15</v>
      </c>
      <c r="Q9" s="82">
        <v>18.399999999999999</v>
      </c>
      <c r="R9" s="82">
        <v>19</v>
      </c>
      <c r="S9" s="82" t="s">
        <v>89</v>
      </c>
      <c r="T9" s="62">
        <f t="shared" si="11"/>
        <v>8.7007914013768328</v>
      </c>
      <c r="U9" s="62">
        <f t="shared" si="12"/>
        <v>8.7007914013768328</v>
      </c>
      <c r="V9" s="62">
        <f t="shared" si="13"/>
        <v>8.7007914013768328</v>
      </c>
      <c r="W9" s="62">
        <f t="shared" si="14"/>
        <v>9.3200561625510616</v>
      </c>
      <c r="X9" s="62">
        <f t="shared" si="15"/>
        <v>9.3200561625510616</v>
      </c>
      <c r="Y9" s="62">
        <f t="shared" si="16"/>
        <v>9.3200561625510616</v>
      </c>
      <c r="Z9" s="62">
        <f t="shared" si="17"/>
        <v>9.3200561625510616</v>
      </c>
      <c r="AA9" s="62">
        <f t="shared" si="18"/>
        <v>9.3200561625510616</v>
      </c>
      <c r="AB9" s="62">
        <f t="shared" si="19"/>
        <v>9.3200561625510616</v>
      </c>
      <c r="AC9" s="85">
        <f t="shared" si="20"/>
        <v>9.3200561625510616</v>
      </c>
      <c r="AD9" s="43" t="s">
        <v>96</v>
      </c>
      <c r="AE9" s="62" t="str">
        <f t="shared" si="21"/>
        <v>resid coolingelectricityair conditioning</v>
      </c>
    </row>
    <row r="10" spans="1:37" s="82" customFormat="1" ht="14" customHeight="1" thickBot="1" x14ac:dyDescent="0.25">
      <c r="A10" s="42" t="s">
        <v>71</v>
      </c>
      <c r="B10" s="43" t="s">
        <v>7</v>
      </c>
      <c r="C10" s="43" t="s">
        <v>10</v>
      </c>
      <c r="D10" s="82">
        <v>6100</v>
      </c>
      <c r="E10" s="82">
        <v>6100</v>
      </c>
      <c r="F10" s="82">
        <v>6100</v>
      </c>
      <c r="G10" s="82">
        <v>6361.9377527845099</v>
      </c>
      <c r="H10" s="82">
        <v>6361.9377527845099</v>
      </c>
      <c r="I10" s="82">
        <v>6361.9377527845099</v>
      </c>
      <c r="J10" s="82">
        <v>6361.9377527845099</v>
      </c>
      <c r="K10" s="82">
        <v>6361.9377527845099</v>
      </c>
      <c r="L10" s="82">
        <v>6361.9377527845099</v>
      </c>
      <c r="M10" s="82">
        <v>6361.9377527845099</v>
      </c>
      <c r="N10" s="81" t="s">
        <v>135</v>
      </c>
      <c r="P10" s="82">
        <v>0.15</v>
      </c>
      <c r="Q10" s="82">
        <v>18.399999999999999</v>
      </c>
      <c r="R10" s="82">
        <v>19</v>
      </c>
      <c r="S10" s="82" t="s">
        <v>89</v>
      </c>
      <c r="T10" s="62">
        <f t="shared" si="11"/>
        <v>14.421422658652068</v>
      </c>
      <c r="U10" s="62">
        <f t="shared" si="12"/>
        <v>14.421422658652068</v>
      </c>
      <c r="V10" s="62">
        <f t="shared" si="13"/>
        <v>14.421422658652068</v>
      </c>
      <c r="W10" s="62">
        <f t="shared" si="14"/>
        <v>15.040687419826321</v>
      </c>
      <c r="X10" s="62">
        <f t="shared" si="15"/>
        <v>15.040687419826321</v>
      </c>
      <c r="Y10" s="62">
        <f t="shared" si="16"/>
        <v>15.040687419826321</v>
      </c>
      <c r="Z10" s="62">
        <f t="shared" si="17"/>
        <v>15.040687419826321</v>
      </c>
      <c r="AA10" s="62">
        <f t="shared" si="18"/>
        <v>15.040687419826321</v>
      </c>
      <c r="AB10" s="62">
        <f t="shared" si="19"/>
        <v>15.040687419826321</v>
      </c>
      <c r="AC10" s="85">
        <f t="shared" si="20"/>
        <v>15.040687419826321</v>
      </c>
      <c r="AD10" s="43" t="s">
        <v>96</v>
      </c>
      <c r="AE10" s="62" t="str">
        <f t="shared" si="21"/>
        <v>resid coolingelectricityair conditioning hi-eff</v>
      </c>
    </row>
    <row r="11" spans="1:37" s="82" customFormat="1" ht="14" customHeight="1" thickBot="1" x14ac:dyDescent="0.25">
      <c r="A11" s="42" t="s">
        <v>72</v>
      </c>
      <c r="B11" s="43" t="s">
        <v>31</v>
      </c>
      <c r="C11" s="43" t="s">
        <v>21</v>
      </c>
      <c r="D11" s="82">
        <v>1925</v>
      </c>
      <c r="E11" s="82">
        <v>1925</v>
      </c>
      <c r="F11" s="82">
        <v>1925</v>
      </c>
      <c r="G11" s="82">
        <v>1925</v>
      </c>
      <c r="H11" s="82">
        <v>1925</v>
      </c>
      <c r="I11" s="82">
        <v>1925</v>
      </c>
      <c r="J11" s="82">
        <v>1925</v>
      </c>
      <c r="K11" s="82">
        <v>1925</v>
      </c>
      <c r="L11" s="82">
        <v>1925</v>
      </c>
      <c r="M11" s="82">
        <v>1925</v>
      </c>
      <c r="N11" s="81" t="s">
        <v>135</v>
      </c>
      <c r="P11" s="82">
        <v>0.25</v>
      </c>
      <c r="Q11" s="82">
        <v>9</v>
      </c>
      <c r="R11" s="82">
        <v>9</v>
      </c>
      <c r="S11" s="82" t="s">
        <v>89</v>
      </c>
      <c r="T11" s="62">
        <f t="shared" si="11"/>
        <v>17.081994955398876</v>
      </c>
      <c r="U11" s="62">
        <f t="shared" si="12"/>
        <v>17.081994955398876</v>
      </c>
      <c r="V11" s="62">
        <f t="shared" si="13"/>
        <v>17.081994955398876</v>
      </c>
      <c r="W11" s="62">
        <f t="shared" si="14"/>
        <v>17.081994955398876</v>
      </c>
      <c r="X11" s="62">
        <f t="shared" si="15"/>
        <v>17.081994955398876</v>
      </c>
      <c r="Y11" s="62">
        <f t="shared" si="16"/>
        <v>17.081994955398876</v>
      </c>
      <c r="Z11" s="62">
        <f t="shared" si="17"/>
        <v>17.081994955398876</v>
      </c>
      <c r="AA11" s="62">
        <f t="shared" si="18"/>
        <v>17.081994955398876</v>
      </c>
      <c r="AB11" s="62">
        <f t="shared" si="19"/>
        <v>17.081994955398876</v>
      </c>
      <c r="AC11" s="85">
        <f t="shared" si="20"/>
        <v>17.081994955398876</v>
      </c>
      <c r="AD11" s="43" t="s">
        <v>96</v>
      </c>
      <c r="AE11" s="62" t="str">
        <f t="shared" si="21"/>
        <v>resid hot watergasgas water heater</v>
      </c>
    </row>
    <row r="12" spans="1:37" s="82" customFormat="1" ht="14" customHeight="1" thickBot="1" x14ac:dyDescent="0.25">
      <c r="A12" s="42" t="s">
        <v>72</v>
      </c>
      <c r="B12" s="43" t="s">
        <v>31</v>
      </c>
      <c r="C12" s="43" t="s">
        <v>22</v>
      </c>
      <c r="D12" s="82">
        <v>2025</v>
      </c>
      <c r="E12" s="82">
        <v>2025</v>
      </c>
      <c r="F12" s="82">
        <v>2025</v>
      </c>
      <c r="G12" s="82">
        <v>2025</v>
      </c>
      <c r="H12" s="82">
        <v>2025</v>
      </c>
      <c r="I12" s="82">
        <v>2025</v>
      </c>
      <c r="J12" s="82">
        <v>2025</v>
      </c>
      <c r="K12" s="82">
        <v>2025</v>
      </c>
      <c r="L12" s="82">
        <v>2025</v>
      </c>
      <c r="M12" s="82">
        <v>2025</v>
      </c>
      <c r="N12" s="81" t="s">
        <v>135</v>
      </c>
      <c r="P12" s="82">
        <v>0.25</v>
      </c>
      <c r="Q12" s="82">
        <v>9</v>
      </c>
      <c r="R12" s="82">
        <v>9</v>
      </c>
      <c r="S12" s="82" t="s">
        <v>89</v>
      </c>
      <c r="T12" s="62">
        <f t="shared" si="11"/>
        <v>17.969371316718295</v>
      </c>
      <c r="U12" s="62">
        <f t="shared" si="12"/>
        <v>17.969371316718295</v>
      </c>
      <c r="V12" s="62">
        <f t="shared" si="13"/>
        <v>17.969371316718295</v>
      </c>
      <c r="W12" s="62">
        <f t="shared" si="14"/>
        <v>17.969371316718295</v>
      </c>
      <c r="X12" s="62">
        <f t="shared" si="15"/>
        <v>17.969371316718295</v>
      </c>
      <c r="Y12" s="62">
        <f t="shared" si="16"/>
        <v>17.969371316718295</v>
      </c>
      <c r="Z12" s="62">
        <f t="shared" si="17"/>
        <v>17.969371316718295</v>
      </c>
      <c r="AA12" s="62">
        <f t="shared" si="18"/>
        <v>17.969371316718295</v>
      </c>
      <c r="AB12" s="62">
        <f t="shared" si="19"/>
        <v>17.969371316718295</v>
      </c>
      <c r="AC12" s="85">
        <f t="shared" si="20"/>
        <v>17.969371316718295</v>
      </c>
      <c r="AD12" s="43" t="s">
        <v>96</v>
      </c>
      <c r="AE12" s="62" t="str">
        <f t="shared" si="21"/>
        <v>resid hot watergasgas water heater hi-eff</v>
      </c>
    </row>
    <row r="13" spans="1:37" s="76" customFormat="1" ht="14" customHeight="1" thickBot="1" x14ac:dyDescent="0.25">
      <c r="A13" s="74" t="s">
        <v>72</v>
      </c>
      <c r="B13" s="75" t="s">
        <v>7</v>
      </c>
      <c r="C13" s="75" t="s">
        <v>23</v>
      </c>
      <c r="D13" s="76">
        <v>2075</v>
      </c>
      <c r="E13" s="76">
        <v>2075</v>
      </c>
      <c r="F13" s="76">
        <v>2075</v>
      </c>
      <c r="G13" s="76">
        <v>2075</v>
      </c>
      <c r="H13" s="76">
        <v>2075</v>
      </c>
      <c r="I13" s="76">
        <v>2075</v>
      </c>
      <c r="J13" s="76">
        <v>2075</v>
      </c>
      <c r="K13" s="76">
        <v>2075</v>
      </c>
      <c r="L13" s="76">
        <v>2075</v>
      </c>
      <c r="M13" s="76">
        <v>2075</v>
      </c>
      <c r="N13" s="77" t="s">
        <v>135</v>
      </c>
      <c r="P13" s="76">
        <v>0.25</v>
      </c>
      <c r="Q13" s="76">
        <v>14</v>
      </c>
      <c r="R13" s="76">
        <v>9</v>
      </c>
      <c r="S13" s="76" t="s">
        <v>89</v>
      </c>
      <c r="T13" s="78">
        <f t="shared" si="11"/>
        <v>16.675078180241073</v>
      </c>
      <c r="U13" s="78">
        <f t="shared" si="12"/>
        <v>16.675078180241073</v>
      </c>
      <c r="V13" s="78">
        <f t="shared" si="13"/>
        <v>16.675078180241073</v>
      </c>
      <c r="W13" s="78">
        <f t="shared" si="14"/>
        <v>16.675078180241073</v>
      </c>
      <c r="X13" s="78">
        <f t="shared" si="15"/>
        <v>16.675078180241073</v>
      </c>
      <c r="Y13" s="78">
        <f t="shared" si="16"/>
        <v>16.675078180241073</v>
      </c>
      <c r="Z13" s="78">
        <f t="shared" si="17"/>
        <v>16.675078180241073</v>
      </c>
      <c r="AA13" s="78">
        <f t="shared" si="18"/>
        <v>16.675078180241073</v>
      </c>
      <c r="AB13" s="78">
        <f t="shared" si="19"/>
        <v>16.675078180241073</v>
      </c>
      <c r="AC13" s="79">
        <f t="shared" si="20"/>
        <v>16.675078180241073</v>
      </c>
      <c r="AD13" s="75" t="s">
        <v>96</v>
      </c>
      <c r="AE13" s="78" t="str">
        <f t="shared" si="21"/>
        <v>resid hot waterelectricityelectric heat pump water heater</v>
      </c>
    </row>
    <row r="14" spans="1:37" s="82" customFormat="1" ht="14" customHeight="1" thickBot="1" x14ac:dyDescent="0.25">
      <c r="A14" s="42" t="s">
        <v>72</v>
      </c>
      <c r="B14" s="43" t="s">
        <v>7</v>
      </c>
      <c r="C14" s="43" t="s">
        <v>24</v>
      </c>
      <c r="D14" s="82">
        <v>850</v>
      </c>
      <c r="E14" s="82">
        <v>850</v>
      </c>
      <c r="F14" s="82">
        <v>850</v>
      </c>
      <c r="G14" s="82">
        <v>850</v>
      </c>
      <c r="H14" s="82">
        <v>850</v>
      </c>
      <c r="I14" s="82">
        <v>850</v>
      </c>
      <c r="J14" s="82">
        <v>850</v>
      </c>
      <c r="K14" s="82">
        <v>850</v>
      </c>
      <c r="L14" s="82">
        <v>850</v>
      </c>
      <c r="M14" s="82">
        <v>850</v>
      </c>
      <c r="N14" s="81" t="s">
        <v>135</v>
      </c>
      <c r="P14" s="82">
        <v>0.25</v>
      </c>
      <c r="Q14" s="82">
        <v>14</v>
      </c>
      <c r="R14" s="82">
        <v>9</v>
      </c>
      <c r="S14" s="82" t="s">
        <v>89</v>
      </c>
      <c r="T14" s="62">
        <f t="shared" si="11"/>
        <v>6.8307549172071855</v>
      </c>
      <c r="U14" s="62">
        <f t="shared" si="12"/>
        <v>6.8307549172071855</v>
      </c>
      <c r="V14" s="62">
        <f t="shared" si="13"/>
        <v>6.8307549172071855</v>
      </c>
      <c r="W14" s="62">
        <f t="shared" si="14"/>
        <v>6.8307549172071855</v>
      </c>
      <c r="X14" s="62">
        <f t="shared" si="15"/>
        <v>6.8307549172071855</v>
      </c>
      <c r="Y14" s="62">
        <f t="shared" si="16"/>
        <v>6.8307549172071855</v>
      </c>
      <c r="Z14" s="62">
        <f t="shared" si="17"/>
        <v>6.8307549172071855</v>
      </c>
      <c r="AA14" s="62">
        <f t="shared" si="18"/>
        <v>6.8307549172071855</v>
      </c>
      <c r="AB14" s="62">
        <f t="shared" si="19"/>
        <v>6.8307549172071855</v>
      </c>
      <c r="AC14" s="85">
        <f t="shared" si="20"/>
        <v>6.8307549172071855</v>
      </c>
      <c r="AD14" s="43" t="s">
        <v>96</v>
      </c>
      <c r="AE14" s="62" t="str">
        <f t="shared" si="21"/>
        <v>resid hot waterelectricityelectric resistance water heater</v>
      </c>
    </row>
    <row r="15" spans="1:37" s="82" customFormat="1" ht="14" customHeight="1" thickBot="1" x14ac:dyDescent="0.25">
      <c r="A15" s="42" t="s">
        <v>72</v>
      </c>
      <c r="B15" s="43" t="s">
        <v>7</v>
      </c>
      <c r="C15" s="43" t="s">
        <v>25</v>
      </c>
      <c r="D15" s="82">
        <v>2075</v>
      </c>
      <c r="E15" s="82">
        <v>2075</v>
      </c>
      <c r="F15" s="82">
        <v>2075</v>
      </c>
      <c r="G15" s="82">
        <v>2075</v>
      </c>
      <c r="H15" s="82">
        <v>2075</v>
      </c>
      <c r="I15" s="82">
        <v>2075</v>
      </c>
      <c r="J15" s="82">
        <v>2075</v>
      </c>
      <c r="K15" s="82">
        <v>2075</v>
      </c>
      <c r="L15" s="82">
        <v>2075</v>
      </c>
      <c r="M15" s="82">
        <v>2075</v>
      </c>
      <c r="N15" s="81" t="s">
        <v>135</v>
      </c>
      <c r="P15" s="82">
        <v>0.25</v>
      </c>
      <c r="Q15" s="82">
        <v>14</v>
      </c>
      <c r="R15" s="82">
        <v>9</v>
      </c>
      <c r="S15" s="82" t="s">
        <v>89</v>
      </c>
      <c r="T15" s="62">
        <f t="shared" si="11"/>
        <v>16.675078180241073</v>
      </c>
      <c r="U15" s="62">
        <f t="shared" si="12"/>
        <v>16.675078180241073</v>
      </c>
      <c r="V15" s="62">
        <f t="shared" si="13"/>
        <v>16.675078180241073</v>
      </c>
      <c r="W15" s="62">
        <f t="shared" si="14"/>
        <v>16.675078180241073</v>
      </c>
      <c r="X15" s="62">
        <f t="shared" si="15"/>
        <v>16.675078180241073</v>
      </c>
      <c r="Y15" s="62">
        <f t="shared" si="16"/>
        <v>16.675078180241073</v>
      </c>
      <c r="Z15" s="62">
        <f t="shared" si="17"/>
        <v>16.675078180241073</v>
      </c>
      <c r="AA15" s="62">
        <f t="shared" si="18"/>
        <v>16.675078180241073</v>
      </c>
      <c r="AB15" s="62">
        <f t="shared" si="19"/>
        <v>16.675078180241073</v>
      </c>
      <c r="AC15" s="85">
        <f t="shared" si="20"/>
        <v>16.675078180241073</v>
      </c>
      <c r="AD15" s="43" t="s">
        <v>96</v>
      </c>
      <c r="AE15" s="62" t="str">
        <f t="shared" si="21"/>
        <v>resid hot waterelectricityelectric resistance water heater hi-eff</v>
      </c>
    </row>
    <row r="16" spans="1:37" s="82" customFormat="1" ht="14" customHeight="1" thickBot="1" x14ac:dyDescent="0.25">
      <c r="A16" s="42" t="s">
        <v>72</v>
      </c>
      <c r="B16" s="43" t="s">
        <v>8</v>
      </c>
      <c r="C16" s="43" t="s">
        <v>26</v>
      </c>
      <c r="D16" s="82">
        <v>1925</v>
      </c>
      <c r="E16" s="82">
        <v>1925</v>
      </c>
      <c r="F16" s="82">
        <v>1925</v>
      </c>
      <c r="G16" s="82">
        <v>1925</v>
      </c>
      <c r="H16" s="82">
        <v>1925</v>
      </c>
      <c r="I16" s="82">
        <v>1925</v>
      </c>
      <c r="J16" s="82">
        <v>1925</v>
      </c>
      <c r="K16" s="82">
        <v>1925</v>
      </c>
      <c r="L16" s="82">
        <v>1925</v>
      </c>
      <c r="M16" s="82">
        <v>1925</v>
      </c>
      <c r="N16" s="81" t="s">
        <v>135</v>
      </c>
      <c r="P16" s="82">
        <v>0.25</v>
      </c>
      <c r="Q16" s="82">
        <v>9</v>
      </c>
      <c r="R16" s="82">
        <v>9</v>
      </c>
      <c r="S16" s="82" t="s">
        <v>89</v>
      </c>
      <c r="T16" s="62">
        <f t="shared" si="11"/>
        <v>17.081994955398876</v>
      </c>
      <c r="U16" s="62">
        <f t="shared" si="12"/>
        <v>17.081994955398876</v>
      </c>
      <c r="V16" s="62">
        <f t="shared" si="13"/>
        <v>17.081994955398876</v>
      </c>
      <c r="W16" s="62">
        <f t="shared" si="14"/>
        <v>17.081994955398876</v>
      </c>
      <c r="X16" s="62">
        <f t="shared" si="15"/>
        <v>17.081994955398876</v>
      </c>
      <c r="Y16" s="62">
        <f t="shared" si="16"/>
        <v>17.081994955398876</v>
      </c>
      <c r="Z16" s="62">
        <f t="shared" si="17"/>
        <v>17.081994955398876</v>
      </c>
      <c r="AA16" s="62">
        <f t="shared" si="18"/>
        <v>17.081994955398876</v>
      </c>
      <c r="AB16" s="62">
        <f t="shared" si="19"/>
        <v>17.081994955398876</v>
      </c>
      <c r="AC16" s="85">
        <f t="shared" si="20"/>
        <v>17.081994955398876</v>
      </c>
      <c r="AD16" s="43" t="s">
        <v>96</v>
      </c>
      <c r="AE16" s="62" t="str">
        <f t="shared" si="21"/>
        <v>resid hot waterrefined liquidsfuel water heater</v>
      </c>
    </row>
    <row r="17" spans="1:34" s="82" customFormat="1" ht="14" customHeight="1" thickBot="1" x14ac:dyDescent="0.25">
      <c r="A17" s="42" t="s">
        <v>72</v>
      </c>
      <c r="B17" s="43" t="s">
        <v>8</v>
      </c>
      <c r="C17" s="43" t="s">
        <v>27</v>
      </c>
      <c r="D17" s="82">
        <v>1925</v>
      </c>
      <c r="E17" s="82">
        <v>1925</v>
      </c>
      <c r="F17" s="82">
        <v>1925</v>
      </c>
      <c r="G17" s="82">
        <v>1925</v>
      </c>
      <c r="H17" s="82">
        <v>1925</v>
      </c>
      <c r="I17" s="82">
        <v>1925</v>
      </c>
      <c r="J17" s="82">
        <v>1925</v>
      </c>
      <c r="K17" s="82">
        <v>1925</v>
      </c>
      <c r="L17" s="82">
        <v>1925</v>
      </c>
      <c r="M17" s="82">
        <v>1925</v>
      </c>
      <c r="N17" s="81" t="s">
        <v>135</v>
      </c>
      <c r="P17" s="82">
        <v>0.25</v>
      </c>
      <c r="Q17" s="82">
        <v>9</v>
      </c>
      <c r="R17" s="82">
        <v>9</v>
      </c>
      <c r="S17" s="82" t="s">
        <v>89</v>
      </c>
      <c r="T17" s="62">
        <f t="shared" si="11"/>
        <v>17.081994955398876</v>
      </c>
      <c r="U17" s="62">
        <f t="shared" si="12"/>
        <v>17.081994955398876</v>
      </c>
      <c r="V17" s="62">
        <f t="shared" si="13"/>
        <v>17.081994955398876</v>
      </c>
      <c r="W17" s="62">
        <f t="shared" si="14"/>
        <v>17.081994955398876</v>
      </c>
      <c r="X17" s="62">
        <f t="shared" si="15"/>
        <v>17.081994955398876</v>
      </c>
      <c r="Y17" s="62">
        <f t="shared" si="16"/>
        <v>17.081994955398876</v>
      </c>
      <c r="Z17" s="62">
        <f t="shared" si="17"/>
        <v>17.081994955398876</v>
      </c>
      <c r="AA17" s="62">
        <f t="shared" si="18"/>
        <v>17.081994955398876</v>
      </c>
      <c r="AB17" s="62">
        <f t="shared" si="19"/>
        <v>17.081994955398876</v>
      </c>
      <c r="AC17" s="85">
        <f t="shared" si="20"/>
        <v>17.081994955398876</v>
      </c>
      <c r="AD17" s="43" t="s">
        <v>96</v>
      </c>
      <c r="AE17" s="62" t="str">
        <f t="shared" si="21"/>
        <v>resid hot waterrefined liquidsfuel water heater hi-eff</v>
      </c>
    </row>
    <row r="18" spans="1:34" s="82" customFormat="1" ht="14" customHeight="1" thickBot="1" x14ac:dyDescent="0.25">
      <c r="A18" s="42" t="s">
        <v>79</v>
      </c>
      <c r="B18" s="43" t="s">
        <v>7</v>
      </c>
      <c r="C18" s="43" t="s">
        <v>32</v>
      </c>
      <c r="D18" s="82">
        <v>1096.6666666666699</v>
      </c>
      <c r="E18" s="82">
        <v>1096.6666666666699</v>
      </c>
      <c r="F18" s="82">
        <v>1096.6666666666699</v>
      </c>
      <c r="G18" s="82">
        <v>1096.6666666666699</v>
      </c>
      <c r="H18" s="82">
        <v>1096.6666666666699</v>
      </c>
      <c r="I18" s="82">
        <v>1096.6666666666699</v>
      </c>
      <c r="J18" s="82">
        <v>1096.6666666666699</v>
      </c>
      <c r="K18" s="82">
        <v>1096.6666666666699</v>
      </c>
      <c r="L18" s="82">
        <v>1096.6666666666699</v>
      </c>
      <c r="M18" s="82">
        <v>1096.6666666666699</v>
      </c>
      <c r="N18" s="81" t="s">
        <v>135</v>
      </c>
      <c r="P18" s="82">
        <v>0.15</v>
      </c>
      <c r="Q18" s="82">
        <v>19</v>
      </c>
      <c r="R18" s="82">
        <f>res_eff!D18*res_eff!P18*0.0036</f>
        <v>3.6959999999999975</v>
      </c>
      <c r="S18" s="82" t="s">
        <v>89</v>
      </c>
      <c r="T18" s="62">
        <f t="shared" si="11"/>
        <v>13.240181978632894</v>
      </c>
      <c r="U18" s="62">
        <f t="shared" si="12"/>
        <v>13.240181978632894</v>
      </c>
      <c r="V18" s="62">
        <f t="shared" si="13"/>
        <v>13.240181978632894</v>
      </c>
      <c r="W18" s="62">
        <f t="shared" si="14"/>
        <v>13.240181978632894</v>
      </c>
      <c r="X18" s="62">
        <f t="shared" si="15"/>
        <v>13.240181978632894</v>
      </c>
      <c r="Y18" s="62">
        <f t="shared" si="16"/>
        <v>13.240181978632894</v>
      </c>
      <c r="Z18" s="62">
        <f t="shared" si="17"/>
        <v>13.240181978632894</v>
      </c>
      <c r="AA18" s="62">
        <f t="shared" si="18"/>
        <v>13.240181978632894</v>
      </c>
      <c r="AB18" s="62">
        <f t="shared" si="19"/>
        <v>13.240181978632894</v>
      </c>
      <c r="AC18" s="85">
        <f t="shared" si="20"/>
        <v>13.240181978632894</v>
      </c>
      <c r="AD18" s="43" t="s">
        <v>96</v>
      </c>
      <c r="AE18" s="62" t="str">
        <f t="shared" si="21"/>
        <v>resid refrigeratorselectricityrefrigerator</v>
      </c>
    </row>
    <row r="19" spans="1:34" s="82" customFormat="1" ht="14" customHeight="1" thickBot="1" x14ac:dyDescent="0.25">
      <c r="A19" s="42" t="s">
        <v>79</v>
      </c>
      <c r="B19" s="43" t="s">
        <v>7</v>
      </c>
      <c r="C19" s="43" t="s">
        <v>33</v>
      </c>
      <c r="D19" s="82">
        <v>1186.67</v>
      </c>
      <c r="E19" s="82">
        <v>1186.67</v>
      </c>
      <c r="F19" s="82">
        <v>1186.67</v>
      </c>
      <c r="G19" s="82">
        <v>1186.67</v>
      </c>
      <c r="H19" s="82">
        <v>1186.67</v>
      </c>
      <c r="I19" s="82">
        <v>1186.67</v>
      </c>
      <c r="J19" s="82">
        <v>1186.67</v>
      </c>
      <c r="K19" s="82">
        <v>1186.67</v>
      </c>
      <c r="L19" s="82">
        <v>1186.67</v>
      </c>
      <c r="M19" s="82">
        <v>1186.67</v>
      </c>
      <c r="N19" s="81" t="s">
        <v>135</v>
      </c>
      <c r="P19" s="82">
        <v>0.15</v>
      </c>
      <c r="Q19" s="82">
        <v>19</v>
      </c>
      <c r="R19" s="82">
        <f>R18</f>
        <v>3.6959999999999975</v>
      </c>
      <c r="S19" s="82" t="s">
        <v>89</v>
      </c>
      <c r="T19" s="62">
        <f t="shared" si="11"/>
        <v>14.326802506307827</v>
      </c>
      <c r="U19" s="62">
        <f t="shared" si="12"/>
        <v>14.326802506307827</v>
      </c>
      <c r="V19" s="62">
        <f t="shared" si="13"/>
        <v>14.326802506307827</v>
      </c>
      <c r="W19" s="62">
        <f t="shared" si="14"/>
        <v>14.326802506307827</v>
      </c>
      <c r="X19" s="62">
        <f t="shared" si="15"/>
        <v>14.326802506307827</v>
      </c>
      <c r="Y19" s="62">
        <f t="shared" si="16"/>
        <v>14.326802506307827</v>
      </c>
      <c r="Z19" s="62">
        <f t="shared" si="17"/>
        <v>14.326802506307827</v>
      </c>
      <c r="AA19" s="62">
        <f t="shared" si="18"/>
        <v>14.326802506307827</v>
      </c>
      <c r="AB19" s="62">
        <f t="shared" si="19"/>
        <v>14.326802506307827</v>
      </c>
      <c r="AC19" s="85">
        <f t="shared" si="20"/>
        <v>14.326802506307827</v>
      </c>
      <c r="AD19" s="43" t="s">
        <v>96</v>
      </c>
      <c r="AE19" s="62" t="str">
        <f t="shared" si="21"/>
        <v>resid refrigeratorselectricityrefrigerator hi-eff</v>
      </c>
    </row>
    <row r="20" spans="1:34" s="6" customFormat="1" ht="14" customHeight="1" thickBot="1" x14ac:dyDescent="0.25">
      <c r="A20" s="86" t="s">
        <v>78</v>
      </c>
      <c r="B20" s="43" t="s">
        <v>31</v>
      </c>
      <c r="C20" s="43" t="s">
        <v>110</v>
      </c>
      <c r="D20" s="82">
        <v>370</v>
      </c>
      <c r="E20" s="82">
        <v>370</v>
      </c>
      <c r="F20" s="82">
        <v>370</v>
      </c>
      <c r="G20" s="82">
        <v>370</v>
      </c>
      <c r="H20" s="82">
        <v>370</v>
      </c>
      <c r="I20" s="82">
        <v>370</v>
      </c>
      <c r="J20" s="82">
        <v>370</v>
      </c>
      <c r="K20" s="82">
        <v>370</v>
      </c>
      <c r="L20" s="82">
        <v>370</v>
      </c>
      <c r="M20" s="82">
        <v>370</v>
      </c>
      <c r="N20" s="81" t="s">
        <v>135</v>
      </c>
      <c r="P20" s="82">
        <v>0.15</v>
      </c>
      <c r="Q20" s="82">
        <v>19</v>
      </c>
      <c r="R20" s="82">
        <f>$R$22</f>
        <v>0.79765210591193492</v>
      </c>
      <c r="S20" s="82" t="s">
        <v>89</v>
      </c>
      <c r="T20" s="62">
        <f t="shared" si="11"/>
        <v>20.69852896894179</v>
      </c>
      <c r="U20" s="62">
        <f t="shared" si="12"/>
        <v>20.69852896894179</v>
      </c>
      <c r="V20" s="62">
        <f t="shared" si="13"/>
        <v>20.69852896894179</v>
      </c>
      <c r="W20" s="62">
        <f t="shared" si="14"/>
        <v>20.69852896894179</v>
      </c>
      <c r="X20" s="62">
        <f t="shared" si="15"/>
        <v>20.69852896894179</v>
      </c>
      <c r="Y20" s="62">
        <f t="shared" si="16"/>
        <v>20.69852896894179</v>
      </c>
      <c r="Z20" s="62">
        <f t="shared" si="17"/>
        <v>20.69852896894179</v>
      </c>
      <c r="AA20" s="62">
        <f t="shared" si="18"/>
        <v>20.69852896894179</v>
      </c>
      <c r="AB20" s="62">
        <f t="shared" si="19"/>
        <v>20.69852896894179</v>
      </c>
      <c r="AC20" s="85">
        <f t="shared" si="20"/>
        <v>20.69852896894179</v>
      </c>
      <c r="AD20" s="43" t="s">
        <v>96</v>
      </c>
      <c r="AE20" s="62" t="str">
        <f t="shared" si="21"/>
        <v>resid cookinggasgas oven</v>
      </c>
      <c r="AH20" s="82"/>
    </row>
    <row r="21" spans="1:34" s="6" customFormat="1" ht="14" customHeight="1" thickBot="1" x14ac:dyDescent="0.25">
      <c r="A21" s="86" t="s">
        <v>78</v>
      </c>
      <c r="B21" s="43" t="s">
        <v>31</v>
      </c>
      <c r="C21" s="43" t="s">
        <v>111</v>
      </c>
      <c r="D21" s="82">
        <v>370</v>
      </c>
      <c r="E21" s="82">
        <v>370</v>
      </c>
      <c r="F21" s="82">
        <v>370</v>
      </c>
      <c r="G21" s="82">
        <v>370</v>
      </c>
      <c r="H21" s="82">
        <v>370</v>
      </c>
      <c r="I21" s="82">
        <v>370</v>
      </c>
      <c r="J21" s="82">
        <v>370</v>
      </c>
      <c r="K21" s="82">
        <v>370</v>
      </c>
      <c r="L21" s="82">
        <v>370</v>
      </c>
      <c r="M21" s="82">
        <v>370</v>
      </c>
      <c r="N21" s="81" t="s">
        <v>135</v>
      </c>
      <c r="P21" s="82">
        <v>0.15</v>
      </c>
      <c r="Q21" s="82">
        <v>19</v>
      </c>
      <c r="R21" s="82">
        <f>$R$22</f>
        <v>0.79765210591193492</v>
      </c>
      <c r="S21" s="82" t="s">
        <v>89</v>
      </c>
      <c r="T21" s="62">
        <f t="shared" si="11"/>
        <v>20.69852896894179</v>
      </c>
      <c r="U21" s="62">
        <f t="shared" si="12"/>
        <v>20.69852896894179</v>
      </c>
      <c r="V21" s="62">
        <f t="shared" si="13"/>
        <v>20.69852896894179</v>
      </c>
      <c r="W21" s="62">
        <f t="shared" si="14"/>
        <v>20.69852896894179</v>
      </c>
      <c r="X21" s="62">
        <f t="shared" si="15"/>
        <v>20.69852896894179</v>
      </c>
      <c r="Y21" s="62">
        <f t="shared" si="16"/>
        <v>20.69852896894179</v>
      </c>
      <c r="Z21" s="62">
        <f t="shared" si="17"/>
        <v>20.69852896894179</v>
      </c>
      <c r="AA21" s="62">
        <f t="shared" si="18"/>
        <v>20.69852896894179</v>
      </c>
      <c r="AB21" s="62">
        <f t="shared" si="19"/>
        <v>20.69852896894179</v>
      </c>
      <c r="AC21" s="85">
        <f t="shared" si="20"/>
        <v>20.69852896894179</v>
      </c>
      <c r="AD21" s="43" t="s">
        <v>96</v>
      </c>
      <c r="AE21" s="62" t="str">
        <f t="shared" si="21"/>
        <v>resid cookinggasgas oven hi-eff</v>
      </c>
      <c r="AH21" s="82"/>
    </row>
    <row r="22" spans="1:34" s="6" customFormat="1" ht="14" customHeight="1" thickBot="1" x14ac:dyDescent="0.25">
      <c r="A22" s="86" t="s">
        <v>78</v>
      </c>
      <c r="B22" s="87" t="s">
        <v>7</v>
      </c>
      <c r="C22" s="87" t="s">
        <v>112</v>
      </c>
      <c r="D22" s="82">
        <v>770</v>
      </c>
      <c r="E22" s="82">
        <v>770</v>
      </c>
      <c r="F22" s="82">
        <v>770</v>
      </c>
      <c r="G22" s="82">
        <v>770</v>
      </c>
      <c r="H22" s="82">
        <v>770</v>
      </c>
      <c r="I22" s="82">
        <v>770</v>
      </c>
      <c r="J22" s="82">
        <v>770</v>
      </c>
      <c r="K22" s="82">
        <v>770</v>
      </c>
      <c r="L22" s="82">
        <v>770</v>
      </c>
      <c r="M22" s="82">
        <v>770</v>
      </c>
      <c r="N22" s="81" t="s">
        <v>135</v>
      </c>
      <c r="P22" s="82">
        <v>0.15</v>
      </c>
      <c r="Q22" s="82">
        <v>19</v>
      </c>
      <c r="R22" s="82">
        <f>res_eff!D22*res_eff!P22*0.0036</f>
        <v>0.79765210591193492</v>
      </c>
      <c r="S22" s="82" t="s">
        <v>89</v>
      </c>
      <c r="T22" s="62">
        <f t="shared" si="11"/>
        <v>43.075317043473461</v>
      </c>
      <c r="U22" s="62">
        <f t="shared" si="12"/>
        <v>43.075317043473461</v>
      </c>
      <c r="V22" s="62">
        <f t="shared" si="13"/>
        <v>43.075317043473461</v>
      </c>
      <c r="W22" s="62">
        <f t="shared" si="14"/>
        <v>43.075317043473461</v>
      </c>
      <c r="X22" s="62">
        <f t="shared" si="15"/>
        <v>43.075317043473461</v>
      </c>
      <c r="Y22" s="62">
        <f t="shared" si="16"/>
        <v>43.075317043473461</v>
      </c>
      <c r="Z22" s="62">
        <f t="shared" si="17"/>
        <v>43.075317043473461</v>
      </c>
      <c r="AA22" s="62">
        <f t="shared" si="18"/>
        <v>43.075317043473461</v>
      </c>
      <c r="AB22" s="62">
        <f t="shared" si="19"/>
        <v>43.075317043473461</v>
      </c>
      <c r="AC22" s="85">
        <f t="shared" si="20"/>
        <v>43.075317043473461</v>
      </c>
      <c r="AD22" s="43" t="s">
        <v>96</v>
      </c>
      <c r="AE22" s="62" t="str">
        <f t="shared" si="21"/>
        <v>resid cookingelectricityelectric oven</v>
      </c>
      <c r="AH22" s="82"/>
    </row>
    <row r="23" spans="1:34" s="6" customFormat="1" ht="14" customHeight="1" thickBot="1" x14ac:dyDescent="0.25">
      <c r="A23" s="42" t="s">
        <v>77</v>
      </c>
      <c r="B23" s="43" t="s">
        <v>31</v>
      </c>
      <c r="C23" s="43" t="s">
        <v>3</v>
      </c>
      <c r="D23" s="82">
        <v>660</v>
      </c>
      <c r="E23" s="82">
        <v>660</v>
      </c>
      <c r="F23" s="82">
        <v>660</v>
      </c>
      <c r="G23" s="82">
        <v>660</v>
      </c>
      <c r="H23" s="82">
        <v>660</v>
      </c>
      <c r="I23" s="82">
        <v>660</v>
      </c>
      <c r="J23" s="82">
        <v>660</v>
      </c>
      <c r="K23" s="82">
        <v>660</v>
      </c>
      <c r="L23" s="82">
        <v>660</v>
      </c>
      <c r="M23" s="82">
        <v>660</v>
      </c>
      <c r="N23" s="81" t="s">
        <v>135</v>
      </c>
      <c r="P23" s="82">
        <v>0.15</v>
      </c>
      <c r="Q23" s="6">
        <v>10</v>
      </c>
      <c r="R23" s="6">
        <f>res_eff!D25*res_eff!P25*0.454</f>
        <v>1018.7760000000001</v>
      </c>
      <c r="S23" s="6" t="s">
        <v>90</v>
      </c>
      <c r="T23" s="88">
        <f t="shared" si="11"/>
        <v>3.57015523930065E-2</v>
      </c>
      <c r="U23" s="88">
        <f t="shared" si="12"/>
        <v>3.57015523930065E-2</v>
      </c>
      <c r="V23" s="88">
        <f t="shared" si="13"/>
        <v>3.57015523930065E-2</v>
      </c>
      <c r="W23" s="88">
        <f t="shared" si="14"/>
        <v>3.57015523930065E-2</v>
      </c>
      <c r="X23" s="88">
        <f t="shared" si="15"/>
        <v>3.57015523930065E-2</v>
      </c>
      <c r="Y23" s="88">
        <f t="shared" si="16"/>
        <v>3.57015523930065E-2</v>
      </c>
      <c r="Z23" s="88">
        <f t="shared" si="17"/>
        <v>3.57015523930065E-2</v>
      </c>
      <c r="AA23" s="88">
        <f t="shared" si="18"/>
        <v>3.57015523930065E-2</v>
      </c>
      <c r="AB23" s="88">
        <f t="shared" si="19"/>
        <v>3.57015523930065E-2</v>
      </c>
      <c r="AC23" s="89">
        <f t="shared" si="20"/>
        <v>3.57015523930065E-2</v>
      </c>
      <c r="AD23" s="43" t="s">
        <v>102</v>
      </c>
      <c r="AE23" s="62" t="str">
        <f t="shared" si="21"/>
        <v>resid clothes dryersgasclothes dryer</v>
      </c>
      <c r="AH23" s="82"/>
    </row>
    <row r="24" spans="1:34" s="6" customFormat="1" ht="14" customHeight="1" thickBot="1" x14ac:dyDescent="0.25">
      <c r="A24" s="42" t="s">
        <v>77</v>
      </c>
      <c r="B24" s="43" t="s">
        <v>31</v>
      </c>
      <c r="C24" s="43" t="s">
        <v>3</v>
      </c>
      <c r="D24" s="82">
        <v>660</v>
      </c>
      <c r="E24" s="82">
        <v>660</v>
      </c>
      <c r="F24" s="82">
        <v>660</v>
      </c>
      <c r="G24" s="82">
        <v>660</v>
      </c>
      <c r="H24" s="82">
        <v>660</v>
      </c>
      <c r="I24" s="82">
        <v>660</v>
      </c>
      <c r="J24" s="82">
        <v>660</v>
      </c>
      <c r="K24" s="82">
        <v>660</v>
      </c>
      <c r="L24" s="82">
        <v>660</v>
      </c>
      <c r="M24" s="82">
        <v>660</v>
      </c>
      <c r="N24" s="81" t="s">
        <v>135</v>
      </c>
      <c r="P24" s="82">
        <v>0.15</v>
      </c>
      <c r="Q24" s="6">
        <v>10</v>
      </c>
      <c r="R24" s="6">
        <f>$R$23</f>
        <v>1018.7760000000001</v>
      </c>
      <c r="S24" s="6" t="s">
        <v>90</v>
      </c>
      <c r="T24" s="88">
        <f t="shared" si="11"/>
        <v>3.57015523930065E-2</v>
      </c>
      <c r="U24" s="88">
        <f t="shared" si="12"/>
        <v>3.57015523930065E-2</v>
      </c>
      <c r="V24" s="88">
        <f t="shared" si="13"/>
        <v>3.57015523930065E-2</v>
      </c>
      <c r="W24" s="88">
        <f t="shared" si="14"/>
        <v>3.57015523930065E-2</v>
      </c>
      <c r="X24" s="88">
        <f t="shared" si="15"/>
        <v>3.57015523930065E-2</v>
      </c>
      <c r="Y24" s="88">
        <f t="shared" si="16"/>
        <v>3.57015523930065E-2</v>
      </c>
      <c r="Z24" s="88">
        <f t="shared" si="17"/>
        <v>3.57015523930065E-2</v>
      </c>
      <c r="AA24" s="88">
        <f t="shared" si="18"/>
        <v>3.57015523930065E-2</v>
      </c>
      <c r="AB24" s="88">
        <f t="shared" si="19"/>
        <v>3.57015523930065E-2</v>
      </c>
      <c r="AC24" s="89">
        <f t="shared" si="20"/>
        <v>3.57015523930065E-2</v>
      </c>
      <c r="AD24" s="43" t="s">
        <v>102</v>
      </c>
      <c r="AE24" s="62" t="str">
        <f t="shared" si="21"/>
        <v>resid clothes dryersgasclothes dryer</v>
      </c>
      <c r="AH24" s="82"/>
    </row>
    <row r="25" spans="1:34" s="6" customFormat="1" ht="14" customHeight="1" thickBot="1" x14ac:dyDescent="0.25">
      <c r="A25" s="42" t="s">
        <v>77</v>
      </c>
      <c r="B25" s="43" t="s">
        <v>7</v>
      </c>
      <c r="C25" s="43" t="s">
        <v>3</v>
      </c>
      <c r="D25" s="82">
        <v>540</v>
      </c>
      <c r="E25" s="82">
        <v>540</v>
      </c>
      <c r="F25" s="82">
        <v>540</v>
      </c>
      <c r="G25" s="82">
        <v>540</v>
      </c>
      <c r="H25" s="82">
        <v>540</v>
      </c>
      <c r="I25" s="82">
        <v>540</v>
      </c>
      <c r="J25" s="82">
        <v>540</v>
      </c>
      <c r="K25" s="82">
        <v>540</v>
      </c>
      <c r="L25" s="82">
        <v>540</v>
      </c>
      <c r="M25" s="82">
        <v>540</v>
      </c>
      <c r="N25" s="81" t="s">
        <v>135</v>
      </c>
      <c r="P25" s="82">
        <v>0.15</v>
      </c>
      <c r="Q25" s="6">
        <v>10</v>
      </c>
      <c r="R25" s="6">
        <f>$R$23</f>
        <v>1018.7760000000001</v>
      </c>
      <c r="S25" s="6" t="s">
        <v>90</v>
      </c>
      <c r="T25" s="88">
        <f t="shared" si="11"/>
        <v>2.9210361048823498E-2</v>
      </c>
      <c r="U25" s="88">
        <f t="shared" si="12"/>
        <v>2.9210361048823498E-2</v>
      </c>
      <c r="V25" s="88">
        <f t="shared" si="13"/>
        <v>2.9210361048823498E-2</v>
      </c>
      <c r="W25" s="88">
        <f t="shared" si="14"/>
        <v>2.9210361048823498E-2</v>
      </c>
      <c r="X25" s="88">
        <f t="shared" si="15"/>
        <v>2.9210361048823498E-2</v>
      </c>
      <c r="Y25" s="88">
        <f t="shared" si="16"/>
        <v>2.9210361048823498E-2</v>
      </c>
      <c r="Z25" s="88">
        <f t="shared" si="17"/>
        <v>2.9210361048823498E-2</v>
      </c>
      <c r="AA25" s="88">
        <f t="shared" si="18"/>
        <v>2.9210361048823498E-2</v>
      </c>
      <c r="AB25" s="88">
        <f t="shared" si="19"/>
        <v>2.9210361048823498E-2</v>
      </c>
      <c r="AC25" s="89">
        <f t="shared" si="20"/>
        <v>2.9210361048823498E-2</v>
      </c>
      <c r="AD25" s="43" t="s">
        <v>102</v>
      </c>
      <c r="AE25" s="62" t="str">
        <f t="shared" si="21"/>
        <v>resid clothes dryerselectricityclothes dryer</v>
      </c>
      <c r="AH25" s="82"/>
    </row>
    <row r="26" spans="1:34" s="6" customFormat="1" ht="14" customHeight="1" thickBot="1" x14ac:dyDescent="0.25">
      <c r="A26" s="42" t="s">
        <v>77</v>
      </c>
      <c r="B26" s="43" t="s">
        <v>7</v>
      </c>
      <c r="C26" s="43" t="s">
        <v>4</v>
      </c>
      <c r="D26" s="82">
        <v>655</v>
      </c>
      <c r="E26" s="82">
        <v>655</v>
      </c>
      <c r="F26" s="82">
        <v>655</v>
      </c>
      <c r="G26" s="82">
        <v>655</v>
      </c>
      <c r="H26" s="82">
        <v>655</v>
      </c>
      <c r="I26" s="82">
        <v>655</v>
      </c>
      <c r="J26" s="82">
        <v>655</v>
      </c>
      <c r="K26" s="82">
        <v>655</v>
      </c>
      <c r="L26" s="82">
        <v>655</v>
      </c>
      <c r="M26" s="82">
        <v>655</v>
      </c>
      <c r="N26" s="81" t="s">
        <v>135</v>
      </c>
      <c r="P26" s="82">
        <v>0.15</v>
      </c>
      <c r="Q26" s="6">
        <v>10</v>
      </c>
      <c r="R26" s="6">
        <f>$R$23</f>
        <v>1018.7760000000001</v>
      </c>
      <c r="S26" s="6" t="s">
        <v>90</v>
      </c>
      <c r="T26" s="88">
        <f t="shared" si="11"/>
        <v>3.5431086086998881E-2</v>
      </c>
      <c r="U26" s="88">
        <f t="shared" si="12"/>
        <v>3.5431086086998881E-2</v>
      </c>
      <c r="V26" s="88">
        <f t="shared" si="13"/>
        <v>3.5431086086998881E-2</v>
      </c>
      <c r="W26" s="88">
        <f t="shared" si="14"/>
        <v>3.5431086086998881E-2</v>
      </c>
      <c r="X26" s="88">
        <f t="shared" si="15"/>
        <v>3.5431086086998881E-2</v>
      </c>
      <c r="Y26" s="88">
        <f t="shared" si="16"/>
        <v>3.5431086086998881E-2</v>
      </c>
      <c r="Z26" s="88">
        <f t="shared" si="17"/>
        <v>3.5431086086998881E-2</v>
      </c>
      <c r="AA26" s="88">
        <f t="shared" si="18"/>
        <v>3.5431086086998881E-2</v>
      </c>
      <c r="AB26" s="88">
        <f t="shared" si="19"/>
        <v>3.5431086086998881E-2</v>
      </c>
      <c r="AC26" s="89">
        <f t="shared" si="20"/>
        <v>3.5431086086998881E-2</v>
      </c>
      <c r="AD26" s="43" t="s">
        <v>102</v>
      </c>
      <c r="AE26" s="62" t="str">
        <f t="shared" si="21"/>
        <v>resid clothes dryerselectricityclothes dryer hi-eff</v>
      </c>
      <c r="AH26" s="82"/>
    </row>
    <row r="27" spans="1:34" s="6" customFormat="1" ht="14" customHeight="1" thickBot="1" x14ac:dyDescent="0.25">
      <c r="A27" s="42" t="s">
        <v>76</v>
      </c>
      <c r="B27" s="43" t="s">
        <v>7</v>
      </c>
      <c r="C27" s="43" t="s">
        <v>13</v>
      </c>
      <c r="D27" s="82">
        <v>625</v>
      </c>
      <c r="E27" s="82">
        <v>625</v>
      </c>
      <c r="F27" s="82">
        <v>625</v>
      </c>
      <c r="G27" s="82">
        <v>625</v>
      </c>
      <c r="H27" s="82">
        <v>625</v>
      </c>
      <c r="I27" s="82">
        <v>625</v>
      </c>
      <c r="J27" s="82">
        <v>625</v>
      </c>
      <c r="K27" s="82">
        <v>625</v>
      </c>
      <c r="L27" s="82">
        <v>625</v>
      </c>
      <c r="M27" s="82">
        <v>625</v>
      </c>
      <c r="N27" s="81" t="s">
        <v>135</v>
      </c>
      <c r="P27" s="82">
        <v>0.15</v>
      </c>
      <c r="Q27" s="6">
        <v>10</v>
      </c>
      <c r="R27" s="82">
        <f>res_eff!D27*res_eff!P27*0.0036</f>
        <v>1.3373999999999999</v>
      </c>
      <c r="S27" s="82" t="s">
        <v>89</v>
      </c>
      <c r="T27" s="62">
        <f t="shared" si="11"/>
        <v>25.753755548940504</v>
      </c>
      <c r="U27" s="62">
        <f t="shared" si="12"/>
        <v>25.753755548940504</v>
      </c>
      <c r="V27" s="62">
        <f t="shared" si="13"/>
        <v>25.753755548940504</v>
      </c>
      <c r="W27" s="62">
        <f t="shared" si="14"/>
        <v>25.753755548940504</v>
      </c>
      <c r="X27" s="62">
        <f t="shared" si="15"/>
        <v>25.753755548940504</v>
      </c>
      <c r="Y27" s="62">
        <f t="shared" si="16"/>
        <v>25.753755548940504</v>
      </c>
      <c r="Z27" s="62">
        <f t="shared" si="17"/>
        <v>25.753755548940504</v>
      </c>
      <c r="AA27" s="62">
        <f t="shared" si="18"/>
        <v>25.753755548940504</v>
      </c>
      <c r="AB27" s="62">
        <f t="shared" si="19"/>
        <v>25.753755548940504</v>
      </c>
      <c r="AC27" s="85">
        <f t="shared" si="20"/>
        <v>25.753755548940504</v>
      </c>
      <c r="AD27" s="43" t="s">
        <v>96</v>
      </c>
      <c r="AE27" s="62" t="str">
        <f t="shared" si="21"/>
        <v>resid freezerselectricityfreezer</v>
      </c>
      <c r="AH27" s="82"/>
    </row>
    <row r="28" spans="1:34" s="6" customFormat="1" ht="14" customHeight="1" thickBot="1" x14ac:dyDescent="0.25">
      <c r="A28" s="42" t="s">
        <v>76</v>
      </c>
      <c r="B28" s="43" t="s">
        <v>7</v>
      </c>
      <c r="C28" s="43" t="s">
        <v>14</v>
      </c>
      <c r="D28" s="82">
        <v>625</v>
      </c>
      <c r="E28" s="82">
        <v>625</v>
      </c>
      <c r="F28" s="82">
        <v>625</v>
      </c>
      <c r="G28" s="82">
        <v>625</v>
      </c>
      <c r="H28" s="82">
        <v>625</v>
      </c>
      <c r="I28" s="82">
        <v>625</v>
      </c>
      <c r="J28" s="82">
        <v>625</v>
      </c>
      <c r="K28" s="82">
        <v>625</v>
      </c>
      <c r="L28" s="82">
        <v>625</v>
      </c>
      <c r="M28" s="82">
        <v>625</v>
      </c>
      <c r="N28" s="81" t="s">
        <v>135</v>
      </c>
      <c r="P28" s="82">
        <v>0.15</v>
      </c>
      <c r="Q28" s="6">
        <v>10</v>
      </c>
      <c r="R28" s="6">
        <f>R27</f>
        <v>1.3373999999999999</v>
      </c>
      <c r="S28" s="82" t="s">
        <v>89</v>
      </c>
      <c r="T28" s="62">
        <f t="shared" si="11"/>
        <v>25.753755548940504</v>
      </c>
      <c r="U28" s="62">
        <f t="shared" si="12"/>
        <v>25.753755548940504</v>
      </c>
      <c r="V28" s="62">
        <f t="shared" si="13"/>
        <v>25.753755548940504</v>
      </c>
      <c r="W28" s="62">
        <f t="shared" si="14"/>
        <v>25.753755548940504</v>
      </c>
      <c r="X28" s="62">
        <f t="shared" si="15"/>
        <v>25.753755548940504</v>
      </c>
      <c r="Y28" s="62">
        <f t="shared" si="16"/>
        <v>25.753755548940504</v>
      </c>
      <c r="Z28" s="62">
        <f t="shared" si="17"/>
        <v>25.753755548940504</v>
      </c>
      <c r="AA28" s="62">
        <f t="shared" si="18"/>
        <v>25.753755548940504</v>
      </c>
      <c r="AB28" s="62">
        <f t="shared" si="19"/>
        <v>25.753755548940504</v>
      </c>
      <c r="AC28" s="85">
        <f t="shared" si="20"/>
        <v>25.753755548940504</v>
      </c>
      <c r="AD28" s="43" t="s">
        <v>96</v>
      </c>
      <c r="AE28" s="62" t="str">
        <f t="shared" si="21"/>
        <v>resid freezerselectricityfreezer hi-eff</v>
      </c>
      <c r="AH28" s="82"/>
    </row>
    <row r="29" spans="1:34" s="6" customFormat="1" ht="14" customHeight="1" thickBot="1" x14ac:dyDescent="0.25">
      <c r="A29" s="42" t="s">
        <v>73</v>
      </c>
      <c r="B29" s="43" t="s">
        <v>7</v>
      </c>
      <c r="C29" s="43" t="s">
        <v>29</v>
      </c>
      <c r="D29" s="82">
        <v>1.99</v>
      </c>
      <c r="E29" s="82">
        <v>1.99</v>
      </c>
      <c r="F29" s="82">
        <v>1.99</v>
      </c>
      <c r="G29" s="82">
        <v>1.99</v>
      </c>
      <c r="H29" s="82">
        <v>1.99</v>
      </c>
      <c r="I29" s="82">
        <v>1.99</v>
      </c>
      <c r="J29" s="82">
        <v>1.99</v>
      </c>
      <c r="K29" s="82">
        <v>1.99</v>
      </c>
      <c r="L29" s="82">
        <v>1.99</v>
      </c>
      <c r="M29" s="82">
        <v>1.99</v>
      </c>
      <c r="N29" s="81" t="s">
        <v>135</v>
      </c>
      <c r="P29" s="82">
        <v>0.15</v>
      </c>
      <c r="Q29" s="6">
        <f>[1]rsmlgt_AT15!$G$38/8760/0.1</f>
        <v>1.1415525114155249</v>
      </c>
      <c r="R29" s="6">
        <f>[1]rsmlgt_AT15!$F$36*res_eff!D29*8760*0.1/1000000</f>
        <v>0.86881680000000006</v>
      </c>
      <c r="S29" s="6" t="s">
        <v>98</v>
      </c>
      <c r="T29" s="88">
        <f t="shared" si="11"/>
        <v>0.64436910960221983</v>
      </c>
      <c r="U29" s="88">
        <f t="shared" si="12"/>
        <v>0.64436910960221983</v>
      </c>
      <c r="V29" s="88">
        <f t="shared" si="13"/>
        <v>0.64436910960221983</v>
      </c>
      <c r="W29" s="88">
        <f t="shared" si="14"/>
        <v>0.64436910960221983</v>
      </c>
      <c r="X29" s="88">
        <f t="shared" si="15"/>
        <v>0.64436910960221983</v>
      </c>
      <c r="Y29" s="88">
        <f t="shared" si="16"/>
        <v>0.64436910960221983</v>
      </c>
      <c r="Z29" s="88">
        <f t="shared" si="17"/>
        <v>0.64436910960221983</v>
      </c>
      <c r="AA29" s="88">
        <f t="shared" si="18"/>
        <v>0.64436910960221983</v>
      </c>
      <c r="AB29" s="88">
        <f t="shared" si="19"/>
        <v>0.64436910960221983</v>
      </c>
      <c r="AC29" s="89">
        <f t="shared" si="20"/>
        <v>0.64436910960221983</v>
      </c>
      <c r="AD29" s="43" t="s">
        <v>99</v>
      </c>
      <c r="AE29" s="62" t="str">
        <f t="shared" si="21"/>
        <v>resid lightingelectricityincandescent</v>
      </c>
      <c r="AH29" s="82"/>
    </row>
    <row r="30" spans="1:34" s="6" customFormat="1" ht="14" customHeight="1" thickBot="1" x14ac:dyDescent="0.25">
      <c r="A30" s="42" t="s">
        <v>73</v>
      </c>
      <c r="B30" s="43" t="s">
        <v>7</v>
      </c>
      <c r="C30" s="43" t="s">
        <v>28</v>
      </c>
      <c r="D30" s="82">
        <v>1.98</v>
      </c>
      <c r="E30" s="82">
        <v>1.98</v>
      </c>
      <c r="F30" s="82">
        <v>1.98</v>
      </c>
      <c r="G30" s="82">
        <v>1.98</v>
      </c>
      <c r="H30" s="82">
        <v>1.89</v>
      </c>
      <c r="I30" s="82">
        <v>1.89</v>
      </c>
      <c r="J30" s="82">
        <v>1.79</v>
      </c>
      <c r="K30" s="82">
        <v>1.79</v>
      </c>
      <c r="L30" s="82">
        <v>1.79</v>
      </c>
      <c r="M30" s="82">
        <v>1.79</v>
      </c>
      <c r="N30" s="81" t="s">
        <v>135</v>
      </c>
      <c r="P30" s="82">
        <v>0.15</v>
      </c>
      <c r="Q30" s="6">
        <f>[1]rsmlgt_AT15!$G$41/8760/0.1</f>
        <v>11.415525114155251</v>
      </c>
      <c r="R30" s="6">
        <f>$R$29</f>
        <v>0.86881680000000006</v>
      </c>
      <c r="S30" s="6" t="s">
        <v>98</v>
      </c>
      <c r="T30" s="88">
        <f t="shared" si="11"/>
        <v>0.11860110284297176</v>
      </c>
      <c r="U30" s="88">
        <f t="shared" si="12"/>
        <v>0.11860110284297176</v>
      </c>
      <c r="V30" s="88">
        <f t="shared" si="13"/>
        <v>0.11860110284297176</v>
      </c>
      <c r="W30" s="88">
        <f t="shared" si="14"/>
        <v>0.11860110284297176</v>
      </c>
      <c r="X30" s="88">
        <f t="shared" si="15"/>
        <v>0.11321014362283666</v>
      </c>
      <c r="Y30" s="88">
        <f t="shared" si="16"/>
        <v>0.11321014362283666</v>
      </c>
      <c r="Z30" s="88">
        <f t="shared" si="17"/>
        <v>0.1072201889337977</v>
      </c>
      <c r="AA30" s="88">
        <f t="shared" si="18"/>
        <v>0.1072201889337977</v>
      </c>
      <c r="AB30" s="88">
        <f t="shared" si="19"/>
        <v>0.1072201889337977</v>
      </c>
      <c r="AC30" s="89">
        <f t="shared" si="20"/>
        <v>0.1072201889337977</v>
      </c>
      <c r="AD30" s="43" t="s">
        <v>99</v>
      </c>
      <c r="AE30" s="62" t="str">
        <f t="shared" si="21"/>
        <v>resid lightingelectricityfluorescent</v>
      </c>
      <c r="AH30" s="82"/>
    </row>
    <row r="31" spans="1:34" s="6" customFormat="1" ht="14" customHeight="1" thickBot="1" x14ac:dyDescent="0.25">
      <c r="A31" s="42" t="s">
        <v>73</v>
      </c>
      <c r="B31" s="43" t="s">
        <v>7</v>
      </c>
      <c r="C31" s="43" t="s">
        <v>30</v>
      </c>
      <c r="D31" s="82">
        <v>1.24</v>
      </c>
      <c r="E31" s="82">
        <v>1.24</v>
      </c>
      <c r="F31" s="82">
        <v>1.24</v>
      </c>
      <c r="G31" s="82">
        <v>0.94</v>
      </c>
      <c r="H31" s="82">
        <v>0.63</v>
      </c>
      <c r="I31" s="82">
        <v>0.63</v>
      </c>
      <c r="J31" s="82">
        <v>0.42</v>
      </c>
      <c r="K31" s="82">
        <v>0.42</v>
      </c>
      <c r="L31" s="82">
        <v>0.42</v>
      </c>
      <c r="M31" s="82">
        <v>0.42</v>
      </c>
      <c r="N31" s="81" t="s">
        <v>135</v>
      </c>
      <c r="P31" s="82">
        <v>0.15</v>
      </c>
      <c r="Q31" s="6">
        <f>[1]rsmlgt_AT15!$G$50/8760/0.1</f>
        <v>38.835616438356162</v>
      </c>
      <c r="R31" s="6">
        <f>$R$29</f>
        <v>0.86881680000000006</v>
      </c>
      <c r="S31" s="6" t="s">
        <v>98</v>
      </c>
      <c r="T31" s="88">
        <f t="shared" si="11"/>
        <v>5.9472451526617114E-2</v>
      </c>
      <c r="U31" s="88">
        <f t="shared" si="12"/>
        <v>5.9472451526617114E-2</v>
      </c>
      <c r="V31" s="88">
        <f t="shared" si="13"/>
        <v>5.9472451526617114E-2</v>
      </c>
      <c r="W31" s="88">
        <f t="shared" si="14"/>
        <v>4.5083955189532329E-2</v>
      </c>
      <c r="X31" s="88">
        <f t="shared" si="15"/>
        <v>3.0215842307878049E-2</v>
      </c>
      <c r="Y31" s="88">
        <f t="shared" si="16"/>
        <v>3.0215842307878049E-2</v>
      </c>
      <c r="Z31" s="88">
        <f t="shared" si="17"/>
        <v>2.0143894871918696E-2</v>
      </c>
      <c r="AA31" s="88">
        <f t="shared" si="18"/>
        <v>2.0143894871918696E-2</v>
      </c>
      <c r="AB31" s="88">
        <f t="shared" si="19"/>
        <v>2.0143894871918696E-2</v>
      </c>
      <c r="AC31" s="89">
        <f t="shared" si="20"/>
        <v>2.0143894871918696E-2</v>
      </c>
      <c r="AD31" s="43" t="s">
        <v>99</v>
      </c>
      <c r="AE31" s="62" t="str">
        <f t="shared" si="21"/>
        <v>resid lightingelectricitysolid state</v>
      </c>
      <c r="AH31" s="82"/>
    </row>
    <row r="32" spans="1:34" s="6" customFormat="1" ht="14" customHeight="1" thickBot="1" x14ac:dyDescent="0.25">
      <c r="A32" s="42" t="s">
        <v>74</v>
      </c>
      <c r="B32" s="43" t="s">
        <v>7</v>
      </c>
      <c r="C32" s="43" t="s">
        <v>5</v>
      </c>
      <c r="D32" s="82">
        <v>875</v>
      </c>
      <c r="E32" s="82">
        <v>875</v>
      </c>
      <c r="F32" s="82">
        <v>875</v>
      </c>
      <c r="G32" s="82">
        <v>875</v>
      </c>
      <c r="H32" s="82">
        <v>900</v>
      </c>
      <c r="I32" s="82">
        <v>900</v>
      </c>
      <c r="J32" s="82">
        <v>900</v>
      </c>
      <c r="K32" s="82">
        <v>900</v>
      </c>
      <c r="L32" s="82">
        <v>900</v>
      </c>
      <c r="M32" s="82">
        <v>900</v>
      </c>
      <c r="N32" s="81" t="s">
        <v>135</v>
      </c>
      <c r="P32" s="82">
        <v>0.15</v>
      </c>
      <c r="Q32" s="6">
        <v>10</v>
      </c>
      <c r="R32" s="6">
        <v>392</v>
      </c>
      <c r="S32" s="6" t="s">
        <v>91</v>
      </c>
      <c r="T32" s="88">
        <f t="shared" si="11"/>
        <v>0.12301097382554652</v>
      </c>
      <c r="U32" s="88">
        <f t="shared" si="12"/>
        <v>0.12301097382554652</v>
      </c>
      <c r="V32" s="88">
        <f t="shared" si="13"/>
        <v>0.12301097382554652</v>
      </c>
      <c r="W32" s="88">
        <f t="shared" si="14"/>
        <v>0.12301097382554652</v>
      </c>
      <c r="X32" s="88">
        <f t="shared" si="15"/>
        <v>0.12652557307770501</v>
      </c>
      <c r="Y32" s="88">
        <f t="shared" si="16"/>
        <v>0.12652557307770501</v>
      </c>
      <c r="Z32" s="88">
        <f t="shared" si="17"/>
        <v>0.12652557307770501</v>
      </c>
      <c r="AA32" s="88">
        <f t="shared" si="18"/>
        <v>0.12652557307770501</v>
      </c>
      <c r="AB32" s="88">
        <f t="shared" si="19"/>
        <v>0.12652557307770501</v>
      </c>
      <c r="AC32" s="89">
        <f t="shared" si="20"/>
        <v>0.12652557307770501</v>
      </c>
      <c r="AD32" s="43" t="s">
        <v>97</v>
      </c>
      <c r="AE32" s="62" t="str">
        <f t="shared" si="21"/>
        <v>resid clothes washerselectricityclothes washer</v>
      </c>
      <c r="AH32" s="82"/>
    </row>
    <row r="33" spans="1:34" s="6" customFormat="1" ht="14" customHeight="1" thickBot="1" x14ac:dyDescent="0.25">
      <c r="A33" s="42" t="s">
        <v>74</v>
      </c>
      <c r="B33" s="43" t="s">
        <v>7</v>
      </c>
      <c r="C33" s="43" t="s">
        <v>6</v>
      </c>
      <c r="D33" s="82">
        <v>875</v>
      </c>
      <c r="E33" s="82">
        <v>875</v>
      </c>
      <c r="F33" s="82">
        <v>875</v>
      </c>
      <c r="G33" s="82">
        <v>875</v>
      </c>
      <c r="H33" s="82">
        <v>900</v>
      </c>
      <c r="I33" s="82">
        <v>900</v>
      </c>
      <c r="J33" s="82">
        <v>900</v>
      </c>
      <c r="K33" s="82">
        <v>900</v>
      </c>
      <c r="L33" s="82">
        <v>900</v>
      </c>
      <c r="M33" s="82">
        <v>900</v>
      </c>
      <c r="N33" s="81" t="s">
        <v>135</v>
      </c>
      <c r="P33" s="82">
        <v>0.15</v>
      </c>
      <c r="Q33" s="6">
        <v>10</v>
      </c>
      <c r="R33" s="6">
        <v>392</v>
      </c>
      <c r="S33" s="6" t="s">
        <v>91</v>
      </c>
      <c r="T33" s="88">
        <f t="shared" si="11"/>
        <v>0.12301097382554652</v>
      </c>
      <c r="U33" s="88">
        <f t="shared" si="12"/>
        <v>0.12301097382554652</v>
      </c>
      <c r="V33" s="88">
        <f t="shared" si="13"/>
        <v>0.12301097382554652</v>
      </c>
      <c r="W33" s="88">
        <f t="shared" si="14"/>
        <v>0.12301097382554652</v>
      </c>
      <c r="X33" s="88">
        <f t="shared" si="15"/>
        <v>0.12652557307770501</v>
      </c>
      <c r="Y33" s="88">
        <f t="shared" si="16"/>
        <v>0.12652557307770501</v>
      </c>
      <c r="Z33" s="88">
        <f t="shared" si="17"/>
        <v>0.12652557307770501</v>
      </c>
      <c r="AA33" s="88">
        <f t="shared" si="18"/>
        <v>0.12652557307770501</v>
      </c>
      <c r="AB33" s="88">
        <f t="shared" si="19"/>
        <v>0.12652557307770501</v>
      </c>
      <c r="AC33" s="89">
        <f t="shared" si="20"/>
        <v>0.12652557307770501</v>
      </c>
      <c r="AD33" s="43" t="s">
        <v>97</v>
      </c>
      <c r="AE33" s="62" t="str">
        <f t="shared" si="21"/>
        <v>resid clothes washerselectricityclothes washer hi-eff</v>
      </c>
      <c r="AH33" s="82"/>
    </row>
    <row r="34" spans="1:34" s="6" customFormat="1" ht="14" customHeight="1" thickBot="1" x14ac:dyDescent="0.25">
      <c r="A34" s="42" t="s">
        <v>75</v>
      </c>
      <c r="B34" s="43" t="s">
        <v>7</v>
      </c>
      <c r="C34" s="43" t="s">
        <v>11</v>
      </c>
      <c r="D34" s="82">
        <v>485</v>
      </c>
      <c r="E34" s="82">
        <v>485</v>
      </c>
      <c r="F34" s="82">
        <v>485</v>
      </c>
      <c r="G34" s="82">
        <v>485</v>
      </c>
      <c r="H34" s="82">
        <v>485</v>
      </c>
      <c r="I34" s="82">
        <v>485</v>
      </c>
      <c r="J34" s="82">
        <v>485</v>
      </c>
      <c r="K34" s="82">
        <v>485</v>
      </c>
      <c r="L34" s="82">
        <v>485</v>
      </c>
      <c r="M34" s="82">
        <v>485</v>
      </c>
      <c r="N34" s="81" t="s">
        <v>135</v>
      </c>
      <c r="P34" s="82">
        <v>0.15</v>
      </c>
      <c r="Q34" s="82">
        <v>12.6</v>
      </c>
      <c r="R34" s="6">
        <v>215</v>
      </c>
      <c r="S34" s="6" t="s">
        <v>91</v>
      </c>
      <c r="T34" s="88">
        <f t="shared" si="11"/>
        <v>0.11300991433991581</v>
      </c>
      <c r="U34" s="88">
        <f t="shared" si="12"/>
        <v>0.11300991433991581</v>
      </c>
      <c r="V34" s="88">
        <f t="shared" si="13"/>
        <v>0.11300991433991581</v>
      </c>
      <c r="W34" s="88">
        <f t="shared" si="14"/>
        <v>0.11300991433991581</v>
      </c>
      <c r="X34" s="88">
        <f t="shared" si="15"/>
        <v>0.11300991433991581</v>
      </c>
      <c r="Y34" s="88">
        <f t="shared" si="16"/>
        <v>0.11300991433991581</v>
      </c>
      <c r="Z34" s="88">
        <f t="shared" si="17"/>
        <v>0.11300991433991581</v>
      </c>
      <c r="AA34" s="88">
        <f t="shared" si="18"/>
        <v>0.11300991433991581</v>
      </c>
      <c r="AB34" s="88">
        <f t="shared" si="19"/>
        <v>0.11300991433991581</v>
      </c>
      <c r="AC34" s="89">
        <f t="shared" si="20"/>
        <v>0.11300991433991581</v>
      </c>
      <c r="AD34" s="43" t="s">
        <v>97</v>
      </c>
      <c r="AE34" s="62" t="str">
        <f t="shared" si="21"/>
        <v>resid dishwasherselectricitydishwasher</v>
      </c>
      <c r="AH34" s="82"/>
    </row>
    <row r="35" spans="1:34" s="6" customFormat="1" ht="14" customHeight="1" x14ac:dyDescent="0.2">
      <c r="A35" s="42" t="s">
        <v>75</v>
      </c>
      <c r="B35" s="43" t="s">
        <v>7</v>
      </c>
      <c r="C35" s="43" t="s">
        <v>12</v>
      </c>
      <c r="D35" s="82">
        <v>485</v>
      </c>
      <c r="E35" s="82">
        <v>485</v>
      </c>
      <c r="F35" s="82">
        <v>485</v>
      </c>
      <c r="G35" s="82">
        <v>485</v>
      </c>
      <c r="H35" s="82">
        <v>485</v>
      </c>
      <c r="I35" s="82">
        <v>485</v>
      </c>
      <c r="J35" s="82">
        <v>485</v>
      </c>
      <c r="K35" s="82">
        <v>485</v>
      </c>
      <c r="L35" s="82">
        <v>485</v>
      </c>
      <c r="M35" s="82">
        <v>485</v>
      </c>
      <c r="N35" s="81" t="s">
        <v>135</v>
      </c>
      <c r="P35" s="82">
        <v>0.15</v>
      </c>
      <c r="Q35" s="82">
        <v>12.6</v>
      </c>
      <c r="R35" s="6">
        <v>215</v>
      </c>
      <c r="S35" s="6" t="s">
        <v>91</v>
      </c>
      <c r="T35" s="88">
        <f t="shared" si="11"/>
        <v>0.11300991433991581</v>
      </c>
      <c r="U35" s="88">
        <f t="shared" si="12"/>
        <v>0.11300991433991581</v>
      </c>
      <c r="V35" s="88">
        <f t="shared" si="13"/>
        <v>0.11300991433991581</v>
      </c>
      <c r="W35" s="88">
        <f t="shared" si="14"/>
        <v>0.11300991433991581</v>
      </c>
      <c r="X35" s="88">
        <f t="shared" si="15"/>
        <v>0.11300991433991581</v>
      </c>
      <c r="Y35" s="88">
        <f t="shared" si="16"/>
        <v>0.11300991433991581</v>
      </c>
      <c r="Z35" s="88">
        <f t="shared" si="17"/>
        <v>0.11300991433991581</v>
      </c>
      <c r="AA35" s="88">
        <f t="shared" si="18"/>
        <v>0.11300991433991581</v>
      </c>
      <c r="AB35" s="88">
        <f t="shared" si="19"/>
        <v>0.11300991433991581</v>
      </c>
      <c r="AC35" s="89">
        <f t="shared" si="20"/>
        <v>0.11300991433991581</v>
      </c>
      <c r="AD35" s="43" t="s">
        <v>97</v>
      </c>
      <c r="AE35" s="62" t="str">
        <f t="shared" si="21"/>
        <v>resid dishwasherselectricitydishwasher hi-eff</v>
      </c>
      <c r="AH35" s="82"/>
    </row>
    <row r="36" spans="1:34" s="6" customFormat="1" ht="14" customHeight="1" x14ac:dyDescent="0.2">
      <c r="A36" s="42" t="s">
        <v>80</v>
      </c>
      <c r="B36" s="43" t="s">
        <v>7</v>
      </c>
      <c r="C36" s="43" t="s">
        <v>7</v>
      </c>
      <c r="M36" s="34"/>
      <c r="N36" s="43"/>
    </row>
    <row r="37" spans="1:34" s="6" customFormat="1" ht="14" customHeight="1" x14ac:dyDescent="0.2">
      <c r="A37" s="42" t="s">
        <v>81</v>
      </c>
      <c r="B37" s="43" t="s">
        <v>7</v>
      </c>
      <c r="C37" s="43" t="s">
        <v>7</v>
      </c>
      <c r="M37" s="34"/>
      <c r="N37" s="43"/>
    </row>
    <row r="38" spans="1:34" s="6" customFormat="1" ht="14" customHeight="1" x14ac:dyDescent="0.2">
      <c r="A38" s="90" t="s">
        <v>82</v>
      </c>
      <c r="B38" s="91" t="s">
        <v>7</v>
      </c>
      <c r="C38" s="91" t="s">
        <v>7</v>
      </c>
      <c r="M38" s="34"/>
      <c r="N38" s="91"/>
    </row>
    <row r="39" spans="1:34" s="6" customFormat="1" ht="14" customHeight="1" x14ac:dyDescent="0.2">
      <c r="A39" s="90" t="s">
        <v>83</v>
      </c>
      <c r="B39" s="91" t="s">
        <v>31</v>
      </c>
      <c r="C39" s="91" t="s">
        <v>31</v>
      </c>
      <c r="M39" s="34"/>
      <c r="N39" s="91"/>
    </row>
    <row r="40" spans="1:34" s="6" customFormat="1" ht="14" customHeight="1" x14ac:dyDescent="0.2">
      <c r="A40" s="90" t="s">
        <v>83</v>
      </c>
      <c r="B40" s="91" t="s">
        <v>7</v>
      </c>
      <c r="C40" s="91" t="s">
        <v>7</v>
      </c>
      <c r="M40" s="34"/>
      <c r="N40" s="91"/>
    </row>
    <row r="41" spans="1:34" s="82" customFormat="1" ht="14" customHeight="1" thickBot="1" x14ac:dyDescent="0.25">
      <c r="A41" s="92" t="s">
        <v>83</v>
      </c>
      <c r="B41" s="93" t="s">
        <v>8</v>
      </c>
      <c r="C41" s="93" t="s">
        <v>8</v>
      </c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93"/>
    </row>
  </sheetData>
  <autoFilter ref="A2:AK41" xr:uid="{00000000-0001-0000-0000-000000000000}">
    <sortState xmlns:xlrd2="http://schemas.microsoft.com/office/spreadsheetml/2017/richdata2" ref="A5:AK40">
      <sortCondition ref="B2:B41"/>
    </sortState>
  </autoFilter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2"/>
  <sheetViews>
    <sheetView workbookViewId="0">
      <selection activeCell="H39" sqref="H39"/>
    </sheetView>
  </sheetViews>
  <sheetFormatPr baseColWidth="10" defaultColWidth="8.83203125" defaultRowHeight="15" x14ac:dyDescent="0.2"/>
  <cols>
    <col min="1" max="1" width="16" bestFit="1" customWidth="1"/>
    <col min="2" max="2" width="14.1640625" bestFit="1" customWidth="1"/>
    <col min="3" max="3" width="30" bestFit="1" customWidth="1"/>
    <col min="4" max="4" width="9.1640625" customWidth="1"/>
    <col min="5" max="13" width="6.6640625" customWidth="1"/>
    <col min="14" max="14" width="26.33203125" customWidth="1"/>
    <col min="15" max="15" width="11.83203125" customWidth="1"/>
    <col min="16" max="16" width="9.83203125" customWidth="1"/>
    <col min="21" max="21" width="17.5" customWidth="1"/>
    <col min="22" max="28" width="9.1640625" bestFit="1" customWidth="1"/>
    <col min="29" max="30" width="9.1640625" customWidth="1"/>
    <col min="31" max="31" width="9.1640625" bestFit="1" customWidth="1"/>
  </cols>
  <sheetData>
    <row r="1" spans="1:33" ht="16" thickBot="1" x14ac:dyDescent="0.25">
      <c r="V1" t="s">
        <v>87</v>
      </c>
      <c r="AE1">
        <v>0.27657890000000002</v>
      </c>
    </row>
    <row r="2" spans="1:33" ht="14" customHeight="1" thickBot="1" x14ac:dyDescent="0.25">
      <c r="A2" s="26" t="s">
        <v>50</v>
      </c>
      <c r="B2" s="16" t="s">
        <v>51</v>
      </c>
      <c r="C2" s="16" t="s">
        <v>52</v>
      </c>
      <c r="D2" s="15">
        <v>2010</v>
      </c>
      <c r="E2" s="8">
        <v>2015</v>
      </c>
      <c r="F2" s="8">
        <v>2020</v>
      </c>
      <c r="G2" s="8">
        <v>2025</v>
      </c>
      <c r="H2" s="8">
        <v>2030</v>
      </c>
      <c r="I2" s="8">
        <v>2035</v>
      </c>
      <c r="J2" s="8">
        <v>2040</v>
      </c>
      <c r="K2" s="73">
        <v>2045</v>
      </c>
      <c r="L2" s="73">
        <v>2050</v>
      </c>
      <c r="M2" s="9">
        <v>2100</v>
      </c>
      <c r="N2" s="16" t="s">
        <v>34</v>
      </c>
      <c r="O2" s="16" t="s">
        <v>66</v>
      </c>
      <c r="Q2" t="s">
        <v>84</v>
      </c>
      <c r="R2" t="s">
        <v>85</v>
      </c>
      <c r="S2" t="s">
        <v>116</v>
      </c>
      <c r="T2" t="s">
        <v>126</v>
      </c>
      <c r="U2" t="s">
        <v>88</v>
      </c>
      <c r="V2" s="15">
        <v>2010</v>
      </c>
      <c r="W2" s="8">
        <v>2015</v>
      </c>
      <c r="X2" s="8">
        <v>2020</v>
      </c>
      <c r="Y2" s="8">
        <v>2025</v>
      </c>
      <c r="Z2" s="8">
        <v>2030</v>
      </c>
      <c r="AA2" s="8">
        <v>2035</v>
      </c>
      <c r="AB2" s="8">
        <v>2040</v>
      </c>
      <c r="AC2" s="73">
        <v>2045</v>
      </c>
      <c r="AD2" s="73">
        <v>2050</v>
      </c>
      <c r="AE2" s="9">
        <v>2100</v>
      </c>
    </row>
    <row r="3" spans="1:33" ht="14" customHeight="1" x14ac:dyDescent="0.2">
      <c r="A3" s="38" t="s">
        <v>53</v>
      </c>
      <c r="B3" s="39" t="s">
        <v>31</v>
      </c>
      <c r="C3" s="39" t="s">
        <v>15</v>
      </c>
      <c r="D3">
        <v>7.2694034978695496</v>
      </c>
      <c r="E3">
        <v>7.2694034978695496</v>
      </c>
      <c r="F3">
        <v>7.2694034978695496</v>
      </c>
      <c r="G3">
        <v>7.3339819603329897</v>
      </c>
      <c r="H3">
        <v>7.3713160468916099</v>
      </c>
      <c r="I3">
        <v>7.4001037386418203</v>
      </c>
      <c r="J3">
        <v>7.4186433111957397</v>
      </c>
      <c r="K3">
        <v>7.4326355098095904</v>
      </c>
      <c r="L3">
        <v>7.4446400781085798</v>
      </c>
      <c r="M3">
        <v>7.4446400781085798</v>
      </c>
      <c r="N3" s="39" t="s">
        <v>115</v>
      </c>
      <c r="O3" s="40">
        <f>[1]ktek_AT15_slim!$G$123</f>
        <v>1.0319251854240568</v>
      </c>
      <c r="Q3">
        <v>0.25</v>
      </c>
      <c r="R3" s="40">
        <f>[1]ktek_AT15_slim!$J$123</f>
        <v>15</v>
      </c>
      <c r="S3">
        <v>0.11</v>
      </c>
      <c r="T3">
        <f>1000*1.0551*8760*S3/1000000</f>
        <v>1.01669436</v>
      </c>
      <c r="U3" t="s">
        <v>128</v>
      </c>
      <c r="V3" s="63">
        <f>(-PMT($Q3,$R3,D3)+$O3)*$AE$1/$T3</f>
        <v>0.79313873038931293</v>
      </c>
      <c r="W3" s="63">
        <f t="shared" ref="W3:AE3" si="0">(-PMT($Q3,$R3,E3)+$O3)*$AE$1/$T3</f>
        <v>0.79313873038931293</v>
      </c>
      <c r="X3" s="63">
        <f t="shared" si="0"/>
        <v>0.79313873038931293</v>
      </c>
      <c r="Y3" s="63">
        <f t="shared" si="0"/>
        <v>0.7976908326597244</v>
      </c>
      <c r="Z3" s="63">
        <f t="shared" si="0"/>
        <v>0.80032249302611136</v>
      </c>
      <c r="AA3" s="63">
        <f t="shared" si="0"/>
        <v>0.80235172246232189</v>
      </c>
      <c r="AB3" s="63">
        <f t="shared" si="0"/>
        <v>0.80365856730030394</v>
      </c>
      <c r="AC3" s="63">
        <f t="shared" si="0"/>
        <v>0.80464487011161989</v>
      </c>
      <c r="AD3" s="63">
        <f t="shared" si="0"/>
        <v>0.80549106589461927</v>
      </c>
      <c r="AE3" s="63">
        <f t="shared" si="0"/>
        <v>0.80549106589461927</v>
      </c>
      <c r="AF3" s="63" t="str">
        <f>A3&amp;B3&amp;C3</f>
        <v>comm heatinggasgas furnace</v>
      </c>
      <c r="AG3" s="63"/>
    </row>
    <row r="4" spans="1:33" ht="14" customHeight="1" x14ac:dyDescent="0.2">
      <c r="A4" s="27" t="s">
        <v>53</v>
      </c>
      <c r="B4" s="17" t="s">
        <v>31</v>
      </c>
      <c r="C4" s="17" t="s">
        <v>16</v>
      </c>
      <c r="D4">
        <v>7.2694034978695496</v>
      </c>
      <c r="E4">
        <v>7.2694034978695496</v>
      </c>
      <c r="F4">
        <v>7.2694034978695496</v>
      </c>
      <c r="G4">
        <v>7.3339819603329897</v>
      </c>
      <c r="H4">
        <v>7.3713160468916099</v>
      </c>
      <c r="I4">
        <v>7.4001037386418203</v>
      </c>
      <c r="J4">
        <v>7.4186433111957397</v>
      </c>
      <c r="K4">
        <v>7.4326355098095904</v>
      </c>
      <c r="L4">
        <v>7.4446400781085798</v>
      </c>
      <c r="M4">
        <v>7.4446400781085798</v>
      </c>
      <c r="N4" s="17" t="s">
        <v>115</v>
      </c>
      <c r="O4" s="10">
        <f>[1]ktek_AT15_slim!$G$124</f>
        <v>2.656383890317052</v>
      </c>
      <c r="Q4">
        <v>0.25</v>
      </c>
      <c r="R4" s="10">
        <f>[1]ktek_AT15_slim!$J$124</f>
        <v>15</v>
      </c>
      <c r="S4">
        <v>0.11</v>
      </c>
      <c r="T4">
        <f t="shared" ref="T4:T21" si="1">1000*1.0551*8760*S4/1000000</f>
        <v>1.01669436</v>
      </c>
      <c r="U4" t="s">
        <v>128</v>
      </c>
      <c r="V4" s="63">
        <f t="shared" ref="V4:V26" si="2">(-PMT($Q4,$R4,D4)+$O4)*$AE$1/$T4</f>
        <v>1.2350522683917557</v>
      </c>
      <c r="W4" s="63">
        <f t="shared" ref="W4:W26" si="3">(-PMT($Q4,$R4,E4)+$O4)*$AE$1/$T4</f>
        <v>1.2350522683917557</v>
      </c>
      <c r="X4" s="63">
        <f t="shared" ref="X4:X26" si="4">(-PMT($Q4,$R4,F4)+$O4)*$AE$1/$T4</f>
        <v>1.2350522683917557</v>
      </c>
      <c r="Y4" s="63">
        <f t="shared" ref="Y4:Y26" si="5">(-PMT($Q4,$R4,G4)+$O4)*$AE$1/$T4</f>
        <v>1.2396043706621673</v>
      </c>
      <c r="Z4" s="63">
        <f t="shared" ref="Z4:Z26" si="6">(-PMT($Q4,$R4,H4)+$O4)*$AE$1/$T4</f>
        <v>1.2422360310285541</v>
      </c>
      <c r="AA4" s="63">
        <f t="shared" ref="AA4:AA26" si="7">(-PMT($Q4,$R4,I4)+$O4)*$AE$1/$T4</f>
        <v>1.2442652604647646</v>
      </c>
      <c r="AB4" s="63">
        <f t="shared" ref="AB4:AB26" si="8">(-PMT($Q4,$R4,J4)+$O4)*$AE$1/$T4</f>
        <v>1.2455721053027466</v>
      </c>
      <c r="AC4" s="63">
        <f t="shared" ref="AC4:AC26" si="9">(-PMT($Q4,$R4,K4)+$O4)*$AE$1/$T4</f>
        <v>1.2465584081140626</v>
      </c>
      <c r="AD4" s="63">
        <f t="shared" ref="AD4:AD26" si="10">(-PMT($Q4,$R4,L4)+$O4)*$AE$1/$T4</f>
        <v>1.2474046038970621</v>
      </c>
      <c r="AE4" s="63">
        <f t="shared" ref="AE4:AE26" si="11">(-PMT($Q4,$R4,M4)+$O4)*$AE$1/$T4</f>
        <v>1.2474046038970621</v>
      </c>
      <c r="AF4" s="63" t="str">
        <f t="shared" ref="AF4:AF26" si="12">A4&amp;B4&amp;C4</f>
        <v>comm heatinggasgas furnace hi-eff</v>
      </c>
      <c r="AG4" s="63"/>
    </row>
    <row r="5" spans="1:33" ht="14" customHeight="1" x14ac:dyDescent="0.2">
      <c r="A5" s="27" t="s">
        <v>53</v>
      </c>
      <c r="B5" s="17" t="s">
        <v>7</v>
      </c>
      <c r="C5" s="17" t="s">
        <v>17</v>
      </c>
      <c r="D5">
        <v>37.35</v>
      </c>
      <c r="E5">
        <v>37.35</v>
      </c>
      <c r="F5">
        <v>37.35</v>
      </c>
      <c r="G5">
        <v>37.35</v>
      </c>
      <c r="H5">
        <v>37.35</v>
      </c>
      <c r="I5">
        <v>37.35</v>
      </c>
      <c r="J5">
        <v>37.35</v>
      </c>
      <c r="K5">
        <v>37.35</v>
      </c>
      <c r="L5">
        <v>37.35</v>
      </c>
      <c r="M5">
        <v>37.35</v>
      </c>
      <c r="N5" s="17" t="s">
        <v>115</v>
      </c>
      <c r="O5" s="10">
        <f>[1]ktek_AT15_slim!$G$121</f>
        <v>0.01</v>
      </c>
      <c r="Q5">
        <v>0.25</v>
      </c>
      <c r="R5" s="10">
        <f>[1]ktek_AT15_slim!$J$121</f>
        <v>18</v>
      </c>
      <c r="S5">
        <v>0.11</v>
      </c>
      <c r="T5">
        <f t="shared" si="1"/>
        <v>1.01669436</v>
      </c>
      <c r="U5" t="s">
        <v>128</v>
      </c>
      <c r="V5" s="63">
        <f t="shared" si="2"/>
        <v>2.5894683954833555</v>
      </c>
      <c r="W5" s="63">
        <f t="shared" si="3"/>
        <v>2.5894683954833555</v>
      </c>
      <c r="X5" s="63">
        <f t="shared" si="4"/>
        <v>2.5894683954833555</v>
      </c>
      <c r="Y5" s="63">
        <f t="shared" si="5"/>
        <v>2.5894683954833555</v>
      </c>
      <c r="Z5" s="63">
        <f t="shared" si="6"/>
        <v>2.5894683954833555</v>
      </c>
      <c r="AA5" s="63">
        <f t="shared" si="7"/>
        <v>2.5894683954833555</v>
      </c>
      <c r="AB5" s="63">
        <f t="shared" si="8"/>
        <v>2.5894683954833555</v>
      </c>
      <c r="AC5" s="63">
        <f t="shared" si="9"/>
        <v>2.5894683954833555</v>
      </c>
      <c r="AD5" s="63">
        <f t="shared" si="10"/>
        <v>2.5894683954833555</v>
      </c>
      <c r="AE5" s="63">
        <f t="shared" si="11"/>
        <v>2.5894683954833555</v>
      </c>
      <c r="AF5" s="63" t="str">
        <f t="shared" si="12"/>
        <v>comm heatingelectricityelectric furnace</v>
      </c>
      <c r="AG5" s="63"/>
    </row>
    <row r="6" spans="1:33" ht="14" customHeight="1" x14ac:dyDescent="0.2">
      <c r="A6" s="27" t="s">
        <v>53</v>
      </c>
      <c r="B6" s="17" t="s">
        <v>7</v>
      </c>
      <c r="C6" s="17" t="s">
        <v>18</v>
      </c>
      <c r="D6">
        <v>141.19999999999999</v>
      </c>
      <c r="E6">
        <v>141.19999999999999</v>
      </c>
      <c r="F6">
        <v>141.19999999999999</v>
      </c>
      <c r="G6">
        <v>141.19999999999999</v>
      </c>
      <c r="H6">
        <v>141.19999999999999</v>
      </c>
      <c r="I6">
        <v>141.19999999999999</v>
      </c>
      <c r="J6">
        <v>141.19999999999999</v>
      </c>
      <c r="K6">
        <v>141.19999999999999</v>
      </c>
      <c r="L6">
        <v>141.19999999999999</v>
      </c>
      <c r="M6">
        <v>141.19999999999999</v>
      </c>
      <c r="N6" s="17" t="s">
        <v>115</v>
      </c>
      <c r="O6" s="10">
        <f>[1]ktek_AT15_slim!$G$97</f>
        <v>1.4722222222222223</v>
      </c>
      <c r="Q6">
        <v>0.25</v>
      </c>
      <c r="R6" s="10">
        <f>[1]ktek_AT15_slim!$J$97</f>
        <v>15</v>
      </c>
      <c r="S6">
        <v>0.11</v>
      </c>
      <c r="T6">
        <f t="shared" si="1"/>
        <v>1.01669436</v>
      </c>
      <c r="U6" t="s">
        <v>128</v>
      </c>
      <c r="V6" s="63">
        <f t="shared" si="2"/>
        <v>10.353614165943858</v>
      </c>
      <c r="W6" s="63">
        <f t="shared" si="3"/>
        <v>10.353614165943858</v>
      </c>
      <c r="X6" s="63">
        <f t="shared" si="4"/>
        <v>10.353614165943858</v>
      </c>
      <c r="Y6" s="63">
        <f t="shared" si="5"/>
        <v>10.353614165943858</v>
      </c>
      <c r="Z6" s="63">
        <f t="shared" si="6"/>
        <v>10.353614165943858</v>
      </c>
      <c r="AA6" s="63">
        <f t="shared" si="7"/>
        <v>10.353614165943858</v>
      </c>
      <c r="AB6" s="63">
        <f t="shared" si="8"/>
        <v>10.353614165943858</v>
      </c>
      <c r="AC6" s="63">
        <f t="shared" si="9"/>
        <v>10.353614165943858</v>
      </c>
      <c r="AD6" s="63">
        <f t="shared" si="10"/>
        <v>10.353614165943858</v>
      </c>
      <c r="AE6" s="63">
        <f t="shared" si="11"/>
        <v>10.353614165943858</v>
      </c>
      <c r="AF6" s="63" t="str">
        <f t="shared" si="12"/>
        <v>comm heatingelectricityelectric heat pump</v>
      </c>
      <c r="AG6" s="63"/>
    </row>
    <row r="7" spans="1:33" ht="14" customHeight="1" x14ac:dyDescent="0.2">
      <c r="A7" s="27" t="s">
        <v>53</v>
      </c>
      <c r="B7" s="17" t="s">
        <v>8</v>
      </c>
      <c r="C7" s="17" t="s">
        <v>19</v>
      </c>
      <c r="D7">
        <v>20.493855638006799</v>
      </c>
      <c r="E7">
        <v>20.493855638006799</v>
      </c>
      <c r="F7">
        <v>20.493855638006799</v>
      </c>
      <c r="G7">
        <v>20.509440629298499</v>
      </c>
      <c r="H7">
        <v>20.531744588823301</v>
      </c>
      <c r="I7">
        <v>20.565325798944301</v>
      </c>
      <c r="J7">
        <v>20.619063873320101</v>
      </c>
      <c r="K7">
        <v>20.716832773128001</v>
      </c>
      <c r="L7">
        <v>20.793864506761501</v>
      </c>
      <c r="M7">
        <v>20.793864506761501</v>
      </c>
      <c r="N7" s="17" t="s">
        <v>115</v>
      </c>
      <c r="O7" s="10">
        <f>[1]ktek_AT15_slim!$G$140</f>
        <v>0.16975308641975309</v>
      </c>
      <c r="Q7">
        <v>0.25</v>
      </c>
      <c r="R7" s="10">
        <f>[1]ktek_AT15_slim!$J$140</f>
        <v>30</v>
      </c>
      <c r="S7">
        <v>0.11</v>
      </c>
      <c r="T7">
        <f t="shared" si="1"/>
        <v>1.01669436</v>
      </c>
      <c r="U7" t="s">
        <v>128</v>
      </c>
      <c r="V7" s="63">
        <f t="shared" si="2"/>
        <v>1.4416805868184726</v>
      </c>
      <c r="W7" s="63">
        <f t="shared" si="3"/>
        <v>1.4416805868184726</v>
      </c>
      <c r="X7" s="63">
        <f t="shared" si="4"/>
        <v>1.4416805868184726</v>
      </c>
      <c r="Y7" s="63">
        <f t="shared" si="5"/>
        <v>1.4427418257333355</v>
      </c>
      <c r="Z7" s="63">
        <f t="shared" si="6"/>
        <v>1.444260583707609</v>
      </c>
      <c r="AA7" s="63">
        <f t="shared" si="7"/>
        <v>1.4465472508171104</v>
      </c>
      <c r="AB7" s="63">
        <f t="shared" si="8"/>
        <v>1.4502064723508292</v>
      </c>
      <c r="AC7" s="63">
        <f t="shared" si="9"/>
        <v>1.4568639134233019</v>
      </c>
      <c r="AD7" s="63">
        <f t="shared" si="10"/>
        <v>1.4621092851967703</v>
      </c>
      <c r="AE7" s="63">
        <f t="shared" si="11"/>
        <v>1.4621092851967703</v>
      </c>
      <c r="AF7" s="63" t="str">
        <f t="shared" si="12"/>
        <v>comm heatingrefined liquidsfuel furnace</v>
      </c>
      <c r="AG7" s="63"/>
    </row>
    <row r="8" spans="1:33" ht="14" customHeight="1" x14ac:dyDescent="0.2">
      <c r="A8" s="28" t="s">
        <v>54</v>
      </c>
      <c r="B8" s="18" t="s">
        <v>31</v>
      </c>
      <c r="C8" s="18" t="s">
        <v>38</v>
      </c>
      <c r="D8">
        <v>78.2767367127325</v>
      </c>
      <c r="E8">
        <v>78.2767367127325</v>
      </c>
      <c r="F8">
        <v>78.2767367127325</v>
      </c>
      <c r="G8">
        <v>78.414103102617304</v>
      </c>
      <c r="H8">
        <v>78.596946788778297</v>
      </c>
      <c r="I8">
        <v>78.850840865343699</v>
      </c>
      <c r="J8">
        <v>79.1626638182764</v>
      </c>
      <c r="K8">
        <v>79.566789170651106</v>
      </c>
      <c r="L8">
        <v>80.1546475563066</v>
      </c>
      <c r="M8">
        <v>80.1546475563066</v>
      </c>
      <c r="N8" s="18" t="s">
        <v>115</v>
      </c>
      <c r="O8" s="11">
        <f>[1]ktek_AT15_slim!$G$165</f>
        <v>4.916666666666667</v>
      </c>
      <c r="Q8">
        <v>0.25</v>
      </c>
      <c r="R8" s="11">
        <f>[1]ktek_AT15_slim!$J$165</f>
        <v>15</v>
      </c>
      <c r="S8">
        <v>0.18</v>
      </c>
      <c r="T8">
        <f t="shared" si="1"/>
        <v>1.6636816799999998</v>
      </c>
      <c r="U8" t="s">
        <v>128</v>
      </c>
      <c r="V8" s="63">
        <f t="shared" si="2"/>
        <v>4.189291192528585</v>
      </c>
      <c r="W8" s="63">
        <f t="shared" si="3"/>
        <v>4.189291192528585</v>
      </c>
      <c r="X8" s="63">
        <f t="shared" si="4"/>
        <v>4.189291192528585</v>
      </c>
      <c r="Y8" s="63">
        <f t="shared" si="5"/>
        <v>4.1952085114213409</v>
      </c>
      <c r="Z8" s="63">
        <f t="shared" si="6"/>
        <v>4.2030848514740207</v>
      </c>
      <c r="AA8" s="63">
        <f t="shared" si="7"/>
        <v>4.2140218224265169</v>
      </c>
      <c r="AB8" s="63">
        <f t="shared" si="8"/>
        <v>4.2274541900684932</v>
      </c>
      <c r="AC8" s="63">
        <f t="shared" si="9"/>
        <v>4.2448626593793204</v>
      </c>
      <c r="AD8" s="63">
        <f t="shared" si="10"/>
        <v>4.2701857790639943</v>
      </c>
      <c r="AE8" s="63">
        <f t="shared" si="11"/>
        <v>4.2701857790639943</v>
      </c>
      <c r="AF8" s="63" t="str">
        <f t="shared" si="12"/>
        <v>comm coolinggasgas cooling</v>
      </c>
      <c r="AG8" s="63"/>
    </row>
    <row r="9" spans="1:33" ht="14" customHeight="1" x14ac:dyDescent="0.2">
      <c r="A9" s="28" t="s">
        <v>54</v>
      </c>
      <c r="B9" s="18" t="s">
        <v>7</v>
      </c>
      <c r="C9" s="18" t="s">
        <v>9</v>
      </c>
      <c r="D9">
        <v>102.00200008949901</v>
      </c>
      <c r="E9">
        <v>102.00200008949901</v>
      </c>
      <c r="F9">
        <v>102.00200008949901</v>
      </c>
      <c r="G9">
        <v>106.558682946746</v>
      </c>
      <c r="H9">
        <v>109.834941655674</v>
      </c>
      <c r="I9">
        <v>112.290910678671</v>
      </c>
      <c r="J9">
        <v>114.127656761303</v>
      </c>
      <c r="K9">
        <v>115.50715807956399</v>
      </c>
      <c r="L9">
        <v>116.545603508253</v>
      </c>
      <c r="M9">
        <v>116.545603508253</v>
      </c>
      <c r="N9" s="18" t="s">
        <v>115</v>
      </c>
      <c r="O9" s="11">
        <f>[1]ktek_AT15_slim!$G$180</f>
        <v>2.6666666666666665</v>
      </c>
      <c r="Q9">
        <v>0.25</v>
      </c>
      <c r="R9" s="11">
        <f>[1]ktek_AT15_slim!$J$180</f>
        <v>20</v>
      </c>
      <c r="S9">
        <v>0.18</v>
      </c>
      <c r="T9">
        <f t="shared" si="1"/>
        <v>1.6636816799999998</v>
      </c>
      <c r="U9" t="s">
        <v>128</v>
      </c>
      <c r="V9" s="63">
        <f t="shared" si="2"/>
        <v>4.7320992369487094</v>
      </c>
      <c r="W9" s="63">
        <f t="shared" si="3"/>
        <v>4.7320992369487094</v>
      </c>
      <c r="X9" s="63">
        <f t="shared" si="4"/>
        <v>4.7320992369487094</v>
      </c>
      <c r="Y9" s="63">
        <f t="shared" si="5"/>
        <v>4.9236896547283378</v>
      </c>
      <c r="Z9" s="63">
        <f t="shared" si="6"/>
        <v>5.0614433221356183</v>
      </c>
      <c r="AA9" s="63">
        <f t="shared" si="7"/>
        <v>5.1647070659402745</v>
      </c>
      <c r="AB9" s="63">
        <f t="shared" si="8"/>
        <v>5.2419349442787651</v>
      </c>
      <c r="AC9" s="63">
        <f t="shared" si="9"/>
        <v>5.2999374961730297</v>
      </c>
      <c r="AD9" s="63">
        <f t="shared" si="10"/>
        <v>5.3436000023769559</v>
      </c>
      <c r="AE9" s="63">
        <f t="shared" si="11"/>
        <v>5.3436000023769559</v>
      </c>
      <c r="AF9" s="63" t="str">
        <f t="shared" si="12"/>
        <v>comm coolingelectricityair conditioning</v>
      </c>
      <c r="AG9" s="63"/>
    </row>
    <row r="10" spans="1:33" ht="14" customHeight="1" x14ac:dyDescent="0.2">
      <c r="A10" s="28" t="s">
        <v>54</v>
      </c>
      <c r="B10" s="18" t="s">
        <v>7</v>
      </c>
      <c r="C10" s="18" t="s">
        <v>10</v>
      </c>
      <c r="D10">
        <v>141.19999999999999</v>
      </c>
      <c r="E10">
        <v>141.19999999999999</v>
      </c>
      <c r="F10">
        <v>141.19999999999999</v>
      </c>
      <c r="G10">
        <v>145.756682857247</v>
      </c>
      <c r="H10">
        <v>149.03294156617599</v>
      </c>
      <c r="I10">
        <v>151.488910589173</v>
      </c>
      <c r="J10">
        <v>153.32565667180501</v>
      </c>
      <c r="K10">
        <v>154.705157990066</v>
      </c>
      <c r="L10">
        <v>155.74360341875499</v>
      </c>
      <c r="M10">
        <v>155.74360341875499</v>
      </c>
      <c r="N10" s="18" t="s">
        <v>115</v>
      </c>
      <c r="O10" s="11">
        <f>[1]ktek_AT15_slim!$G$183</f>
        <v>2.6666666666666665</v>
      </c>
      <c r="Q10">
        <v>0.25</v>
      </c>
      <c r="R10" s="11">
        <f>[1]ktek_AT15_slim!$J$183</f>
        <v>20</v>
      </c>
      <c r="S10">
        <v>0.18</v>
      </c>
      <c r="T10">
        <f t="shared" si="1"/>
        <v>1.6636816799999998</v>
      </c>
      <c r="U10" t="s">
        <v>128</v>
      </c>
      <c r="V10" s="63">
        <f t="shared" si="2"/>
        <v>6.3802194626156741</v>
      </c>
      <c r="W10" s="63">
        <f t="shared" si="3"/>
        <v>6.3802194626156741</v>
      </c>
      <c r="X10" s="63">
        <f t="shared" si="4"/>
        <v>6.3802194626156741</v>
      </c>
      <c r="Y10" s="63">
        <f t="shared" si="5"/>
        <v>6.5718098803953025</v>
      </c>
      <c r="Z10" s="63">
        <f t="shared" si="6"/>
        <v>6.7095635478026256</v>
      </c>
      <c r="AA10" s="63">
        <f t="shared" si="7"/>
        <v>6.8128272916072818</v>
      </c>
      <c r="AB10" s="63">
        <f t="shared" si="8"/>
        <v>6.8900551699457724</v>
      </c>
      <c r="AC10" s="63">
        <f t="shared" si="9"/>
        <v>6.948057721840037</v>
      </c>
      <c r="AD10" s="63">
        <f t="shared" si="10"/>
        <v>6.9917202280439623</v>
      </c>
      <c r="AE10" s="63">
        <f t="shared" si="11"/>
        <v>6.9917202280439623</v>
      </c>
      <c r="AF10" s="63" t="str">
        <f t="shared" si="12"/>
        <v>comm coolingelectricityair conditioning hi-eff</v>
      </c>
      <c r="AG10" s="63"/>
    </row>
    <row r="11" spans="1:33" ht="14" customHeight="1" x14ac:dyDescent="0.2">
      <c r="A11" s="29" t="s">
        <v>55</v>
      </c>
      <c r="B11" s="19" t="s">
        <v>31</v>
      </c>
      <c r="C11" s="19" t="s">
        <v>21</v>
      </c>
      <c r="D11">
        <v>27.232594608779301</v>
      </c>
      <c r="E11">
        <v>27.232594608779301</v>
      </c>
      <c r="F11">
        <v>27.232594608779301</v>
      </c>
      <c r="G11">
        <v>27.543641396902501</v>
      </c>
      <c r="H11">
        <v>27.7319567474655</v>
      </c>
      <c r="I11">
        <v>27.8433136123714</v>
      </c>
      <c r="J11">
        <v>27.908250792285699</v>
      </c>
      <c r="K11">
        <v>27.9466465772452</v>
      </c>
      <c r="L11">
        <v>27.9693685167132</v>
      </c>
      <c r="M11">
        <v>27.9693685167132</v>
      </c>
      <c r="N11" s="19" t="s">
        <v>115</v>
      </c>
      <c r="O11" s="7">
        <f>[1]ktek_AT15_slim!$G$252</f>
        <v>0.6875</v>
      </c>
      <c r="Q11">
        <v>0.25</v>
      </c>
      <c r="R11" s="7">
        <f>[1]ktek_AT15_slim!$J$252</f>
        <v>13</v>
      </c>
      <c r="S11">
        <v>0.2</v>
      </c>
      <c r="T11">
        <f t="shared" si="1"/>
        <v>1.8485352000000002</v>
      </c>
      <c r="U11" t="s">
        <v>128</v>
      </c>
      <c r="V11" s="63">
        <f t="shared" si="2"/>
        <v>1.1807612851695077</v>
      </c>
      <c r="W11" s="63">
        <f t="shared" si="3"/>
        <v>1.1807612851695077</v>
      </c>
      <c r="X11" s="63">
        <f t="shared" si="4"/>
        <v>1.1807612851695077</v>
      </c>
      <c r="Y11" s="63">
        <f t="shared" si="5"/>
        <v>1.1930728716357286</v>
      </c>
      <c r="Z11" s="63">
        <f t="shared" si="6"/>
        <v>1.2005266078898862</v>
      </c>
      <c r="AA11" s="63">
        <f t="shared" si="7"/>
        <v>1.2049342395493179</v>
      </c>
      <c r="AB11" s="63">
        <f t="shared" si="8"/>
        <v>1.2075045271584948</v>
      </c>
      <c r="AC11" s="63">
        <f t="shared" si="9"/>
        <v>1.2090242760982592</v>
      </c>
      <c r="AD11" s="63">
        <f t="shared" si="10"/>
        <v>1.2099236363653385</v>
      </c>
      <c r="AE11" s="63">
        <f t="shared" si="11"/>
        <v>1.2099236363653385</v>
      </c>
      <c r="AF11" s="63" t="str">
        <f t="shared" si="12"/>
        <v>comm hot watergasgas water heater</v>
      </c>
      <c r="AG11" s="63"/>
    </row>
    <row r="12" spans="1:33" ht="14" customHeight="1" x14ac:dyDescent="0.2">
      <c r="A12" s="29" t="s">
        <v>55</v>
      </c>
      <c r="B12" s="19" t="s">
        <v>31</v>
      </c>
      <c r="C12" s="19" t="s">
        <v>22</v>
      </c>
      <c r="D12">
        <v>30.03</v>
      </c>
      <c r="E12">
        <v>30.03</v>
      </c>
      <c r="F12">
        <v>30.03</v>
      </c>
      <c r="G12">
        <v>30.341046788123201</v>
      </c>
      <c r="H12">
        <v>30.529362138686199</v>
      </c>
      <c r="I12">
        <v>30.6407190035921</v>
      </c>
      <c r="J12">
        <v>30.705656183506399</v>
      </c>
      <c r="K12">
        <v>30.7440519684659</v>
      </c>
      <c r="L12">
        <v>30.766773907933899</v>
      </c>
      <c r="M12">
        <v>30.766773907933899</v>
      </c>
      <c r="N12" s="19" t="s">
        <v>115</v>
      </c>
      <c r="O12" s="7">
        <f>[1]ktek_AT15_slim!$G$253</f>
        <v>0.55555555555555558</v>
      </c>
      <c r="Q12">
        <v>0.25</v>
      </c>
      <c r="R12" s="7">
        <f>[1]ktek_AT15_slim!$J$253</f>
        <v>13</v>
      </c>
      <c r="S12">
        <v>0.2</v>
      </c>
      <c r="T12">
        <f t="shared" si="1"/>
        <v>1.8485352000000002</v>
      </c>
      <c r="U12" t="s">
        <v>128</v>
      </c>
      <c r="V12" s="63">
        <f t="shared" si="2"/>
        <v>1.2717441759076173</v>
      </c>
      <c r="W12" s="63">
        <f t="shared" si="3"/>
        <v>1.2717441759076173</v>
      </c>
      <c r="X12" s="63">
        <f t="shared" si="4"/>
        <v>1.2717441759076173</v>
      </c>
      <c r="Y12" s="63">
        <f t="shared" si="5"/>
        <v>1.2840557623738387</v>
      </c>
      <c r="Z12" s="63">
        <f t="shared" si="6"/>
        <v>1.2915094986279958</v>
      </c>
      <c r="AA12" s="63">
        <f t="shared" si="7"/>
        <v>1.2959171302874275</v>
      </c>
      <c r="AB12" s="63">
        <f t="shared" si="8"/>
        <v>1.2984874178966046</v>
      </c>
      <c r="AC12" s="63">
        <f t="shared" si="9"/>
        <v>1.3000071668363691</v>
      </c>
      <c r="AD12" s="63">
        <f t="shared" si="10"/>
        <v>1.3009065271034479</v>
      </c>
      <c r="AE12" s="63">
        <f t="shared" si="11"/>
        <v>1.3009065271034479</v>
      </c>
      <c r="AF12" s="63" t="str">
        <f t="shared" si="12"/>
        <v>comm hot watergasgas water heater hi-eff</v>
      </c>
      <c r="AG12" s="63"/>
    </row>
    <row r="13" spans="1:33" ht="14" customHeight="1" x14ac:dyDescent="0.2">
      <c r="A13" s="29" t="s">
        <v>55</v>
      </c>
      <c r="B13" s="19" t="s">
        <v>7</v>
      </c>
      <c r="C13" s="19" t="s">
        <v>23</v>
      </c>
      <c r="D13">
        <v>298.64999999999998</v>
      </c>
      <c r="E13">
        <v>298.64999999999998</v>
      </c>
      <c r="F13">
        <v>298.64999999999998</v>
      </c>
      <c r="G13">
        <v>298.64999999999998</v>
      </c>
      <c r="H13">
        <v>298.64999999999998</v>
      </c>
      <c r="I13">
        <v>298.64999999999998</v>
      </c>
      <c r="J13">
        <v>298.64999999999998</v>
      </c>
      <c r="K13">
        <v>298.64999999999998</v>
      </c>
      <c r="L13">
        <v>298.64999999999998</v>
      </c>
      <c r="M13">
        <v>298.64999999999998</v>
      </c>
      <c r="N13" s="19" t="s">
        <v>115</v>
      </c>
      <c r="O13" s="7">
        <f>[1]ktek_AT15_slim!$G$245</f>
        <v>2.2857142857142856</v>
      </c>
      <c r="Q13">
        <v>0.25</v>
      </c>
      <c r="R13" s="7">
        <f>[1]ktek_AT15_slim!$J$245</f>
        <v>13</v>
      </c>
      <c r="S13">
        <v>0.2</v>
      </c>
      <c r="T13">
        <f t="shared" si="1"/>
        <v>1.8485352000000002</v>
      </c>
      <c r="U13" t="s">
        <v>128</v>
      </c>
      <c r="V13" s="63">
        <f t="shared" si="2"/>
        <v>12.162897346300976</v>
      </c>
      <c r="W13" s="63">
        <f t="shared" si="3"/>
        <v>12.162897346300976</v>
      </c>
      <c r="X13" s="63">
        <f t="shared" si="4"/>
        <v>12.162897346300976</v>
      </c>
      <c r="Y13" s="63">
        <f t="shared" si="5"/>
        <v>12.162897346300976</v>
      </c>
      <c r="Z13" s="63">
        <f t="shared" si="6"/>
        <v>12.162897346300976</v>
      </c>
      <c r="AA13" s="63">
        <f t="shared" si="7"/>
        <v>12.162897346300976</v>
      </c>
      <c r="AB13" s="63">
        <f t="shared" si="8"/>
        <v>12.162897346300976</v>
      </c>
      <c r="AC13" s="63">
        <f t="shared" si="9"/>
        <v>12.162897346300976</v>
      </c>
      <c r="AD13" s="63">
        <f t="shared" si="10"/>
        <v>12.162897346300976</v>
      </c>
      <c r="AE13" s="63">
        <f t="shared" si="11"/>
        <v>12.162897346300976</v>
      </c>
      <c r="AF13" s="63" t="str">
        <f t="shared" si="12"/>
        <v>comm hot waterelectricityelectric heat pump water heater</v>
      </c>
      <c r="AG13" s="63"/>
    </row>
    <row r="14" spans="1:33" ht="14" customHeight="1" x14ac:dyDescent="0.2">
      <c r="A14" s="29" t="s">
        <v>55</v>
      </c>
      <c r="B14" s="19" t="s">
        <v>7</v>
      </c>
      <c r="C14" s="19" t="s">
        <v>24</v>
      </c>
      <c r="D14">
        <v>64.73</v>
      </c>
      <c r="E14">
        <v>64.73</v>
      </c>
      <c r="F14">
        <v>64.73</v>
      </c>
      <c r="G14">
        <v>64.73</v>
      </c>
      <c r="H14">
        <v>64.73</v>
      </c>
      <c r="I14">
        <v>64.73</v>
      </c>
      <c r="J14">
        <v>64.73</v>
      </c>
      <c r="K14">
        <v>64.73</v>
      </c>
      <c r="L14">
        <v>64.73</v>
      </c>
      <c r="M14">
        <v>64.73</v>
      </c>
      <c r="N14" s="19" t="s">
        <v>115</v>
      </c>
      <c r="O14" s="7">
        <f>[1]ktek_AT15_slim!$G$251</f>
        <v>0.88611711455456221</v>
      </c>
      <c r="Q14">
        <v>0.25</v>
      </c>
      <c r="R14" s="7">
        <f>[1]ktek_AT15_slim!$J$251</f>
        <v>13</v>
      </c>
      <c r="S14">
        <v>0.2</v>
      </c>
      <c r="T14">
        <f t="shared" si="1"/>
        <v>1.8485352000000002</v>
      </c>
      <c r="U14" t="s">
        <v>128</v>
      </c>
      <c r="V14" s="63">
        <f t="shared" si="2"/>
        <v>2.6946685444063849</v>
      </c>
      <c r="W14" s="63">
        <f t="shared" si="3"/>
        <v>2.6946685444063849</v>
      </c>
      <c r="X14" s="63">
        <f t="shared" si="4"/>
        <v>2.6946685444063849</v>
      </c>
      <c r="Y14" s="63">
        <f t="shared" si="5"/>
        <v>2.6946685444063849</v>
      </c>
      <c r="Z14" s="63">
        <f t="shared" si="6"/>
        <v>2.6946685444063849</v>
      </c>
      <c r="AA14" s="63">
        <f t="shared" si="7"/>
        <v>2.6946685444063849</v>
      </c>
      <c r="AB14" s="63">
        <f t="shared" si="8"/>
        <v>2.6946685444063849</v>
      </c>
      <c r="AC14" s="63">
        <f t="shared" si="9"/>
        <v>2.6946685444063849</v>
      </c>
      <c r="AD14" s="63">
        <f t="shared" si="10"/>
        <v>2.6946685444063849</v>
      </c>
      <c r="AE14" s="63">
        <f t="shared" si="11"/>
        <v>2.6946685444063849</v>
      </c>
      <c r="AF14" s="63" t="str">
        <f t="shared" si="12"/>
        <v>comm hot waterelectricityelectric resistance water heater</v>
      </c>
      <c r="AG14" s="63"/>
    </row>
    <row r="15" spans="1:33" ht="14" customHeight="1" x14ac:dyDescent="0.2">
      <c r="A15" s="29" t="s">
        <v>55</v>
      </c>
      <c r="B15" s="19" t="s">
        <v>8</v>
      </c>
      <c r="C15" s="19" t="s">
        <v>26</v>
      </c>
      <c r="D15">
        <v>45.378341641477</v>
      </c>
      <c r="E15">
        <v>45.378341641477</v>
      </c>
      <c r="F15">
        <v>45.378341641477</v>
      </c>
      <c r="G15">
        <v>45.421600702055301</v>
      </c>
      <c r="H15">
        <v>45.491986005748998</v>
      </c>
      <c r="I15">
        <v>45.601584392162202</v>
      </c>
      <c r="J15">
        <v>45.774408312010401</v>
      </c>
      <c r="K15">
        <v>46.051784981995802</v>
      </c>
      <c r="L15">
        <v>46.485061790680398</v>
      </c>
      <c r="M15">
        <v>46.485061790680398</v>
      </c>
      <c r="N15" s="19" t="s">
        <v>115</v>
      </c>
      <c r="O15" s="7">
        <f>[1]ktek_AT15_slim!$G$256</f>
        <v>1.4466546112115732</v>
      </c>
      <c r="Q15">
        <v>0.25</v>
      </c>
      <c r="R15" s="7">
        <f>[1]ktek_AT15_slim!$J$256</f>
        <v>13</v>
      </c>
      <c r="S15">
        <v>0.2</v>
      </c>
      <c r="T15">
        <f t="shared" si="1"/>
        <v>1.8485352000000002</v>
      </c>
      <c r="U15" t="s">
        <v>128</v>
      </c>
      <c r="V15" s="63">
        <f t="shared" si="2"/>
        <v>2.0125757884506892</v>
      </c>
      <c r="W15" s="63">
        <f t="shared" si="3"/>
        <v>2.0125757884506892</v>
      </c>
      <c r="X15" s="63">
        <f t="shared" si="4"/>
        <v>2.0125757884506892</v>
      </c>
      <c r="Y15" s="63">
        <f t="shared" si="5"/>
        <v>2.0142880313835634</v>
      </c>
      <c r="Z15" s="63">
        <f t="shared" si="6"/>
        <v>2.0170739619427724</v>
      </c>
      <c r="AA15" s="63">
        <f t="shared" si="7"/>
        <v>2.0214119910188035</v>
      </c>
      <c r="AB15" s="63">
        <f t="shared" si="8"/>
        <v>2.0282525587850895</v>
      </c>
      <c r="AC15" s="63">
        <f t="shared" si="9"/>
        <v>2.0392314435915937</v>
      </c>
      <c r="AD15" s="63">
        <f t="shared" si="10"/>
        <v>2.0563810336134525</v>
      </c>
      <c r="AE15" s="63">
        <f t="shared" si="11"/>
        <v>2.0563810336134525</v>
      </c>
      <c r="AF15" s="63" t="str">
        <f t="shared" si="12"/>
        <v>comm hot waterrefined liquidsfuel water heater</v>
      </c>
      <c r="AG15" s="63"/>
    </row>
    <row r="16" spans="1:33" ht="14" customHeight="1" x14ac:dyDescent="0.2">
      <c r="A16" s="30" t="s">
        <v>59</v>
      </c>
      <c r="B16" s="20" t="s">
        <v>7</v>
      </c>
      <c r="C16" s="20" t="s">
        <v>60</v>
      </c>
      <c r="D16">
        <v>632.29</v>
      </c>
      <c r="E16">
        <v>632.29</v>
      </c>
      <c r="F16">
        <v>632.29</v>
      </c>
      <c r="G16">
        <v>639.20328541145</v>
      </c>
      <c r="H16">
        <v>643.72528730547003</v>
      </c>
      <c r="I16">
        <v>644.93311277530495</v>
      </c>
      <c r="J16">
        <v>645.56579846143802</v>
      </c>
      <c r="K16">
        <v>645.90475075186998</v>
      </c>
      <c r="L16">
        <v>646.08736328651105</v>
      </c>
      <c r="M16">
        <v>646.08736328651105</v>
      </c>
      <c r="N16" s="20" t="s">
        <v>115</v>
      </c>
      <c r="O16" s="12">
        <f>[1]ktek_AT15_slim!$G$452</f>
        <v>92.812127744424515</v>
      </c>
      <c r="Q16">
        <v>0.25</v>
      </c>
      <c r="R16" s="12">
        <f>[1]ktek_AT15_slim!$J$411</f>
        <v>10</v>
      </c>
      <c r="S16">
        <v>0.3</v>
      </c>
      <c r="T16">
        <f t="shared" si="1"/>
        <v>2.7728028</v>
      </c>
      <c r="U16" t="s">
        <v>128</v>
      </c>
      <c r="V16" s="63">
        <f t="shared" si="2"/>
        <v>26.92164986331758</v>
      </c>
      <c r="W16" s="63">
        <f t="shared" si="3"/>
        <v>26.92164986331758</v>
      </c>
      <c r="X16" s="63">
        <f t="shared" si="4"/>
        <v>26.92164986331758</v>
      </c>
      <c r="Y16" s="63">
        <f t="shared" si="5"/>
        <v>27.114782252380031</v>
      </c>
      <c r="Z16" s="63">
        <f t="shared" si="6"/>
        <v>27.241110760051736</v>
      </c>
      <c r="AA16" s="63">
        <f t="shared" si="7"/>
        <v>27.274853069919828</v>
      </c>
      <c r="AB16" s="63">
        <f t="shared" si="8"/>
        <v>27.292528037871548</v>
      </c>
      <c r="AC16" s="63">
        <f t="shared" si="9"/>
        <v>27.301997148682585</v>
      </c>
      <c r="AD16" s="63">
        <f t="shared" si="10"/>
        <v>27.307098687674394</v>
      </c>
      <c r="AE16" s="63">
        <f t="shared" si="11"/>
        <v>27.307098687674394</v>
      </c>
      <c r="AF16" s="63" t="str">
        <f t="shared" si="12"/>
        <v>comm refrigerationelectricityrefrigeration</v>
      </c>
      <c r="AG16" s="63"/>
    </row>
    <row r="17" spans="1:33" ht="14" customHeight="1" x14ac:dyDescent="0.2">
      <c r="A17" s="30" t="s">
        <v>59</v>
      </c>
      <c r="B17" s="20" t="s">
        <v>7</v>
      </c>
      <c r="C17" s="20" t="s">
        <v>61</v>
      </c>
      <c r="D17">
        <v>632.29</v>
      </c>
      <c r="E17">
        <v>632.29</v>
      </c>
      <c r="F17">
        <v>632.29</v>
      </c>
      <c r="G17">
        <v>639.20328541145</v>
      </c>
      <c r="H17">
        <v>643.72528730547003</v>
      </c>
      <c r="I17">
        <v>644.93311277530495</v>
      </c>
      <c r="J17">
        <v>645.56579846143802</v>
      </c>
      <c r="K17">
        <v>645.90475075186998</v>
      </c>
      <c r="L17">
        <v>646.08736328651105</v>
      </c>
      <c r="M17">
        <v>646.08736328651105</v>
      </c>
      <c r="N17" s="20" t="s">
        <v>115</v>
      </c>
      <c r="O17" s="12">
        <f>[1]ktek_AT15_slim!$G$453</f>
        <v>92.812127744424515</v>
      </c>
      <c r="Q17">
        <v>0.25</v>
      </c>
      <c r="R17" s="12">
        <f>[1]ktek_AT15_slim!$J$411</f>
        <v>10</v>
      </c>
      <c r="S17">
        <v>0.3</v>
      </c>
      <c r="T17">
        <f t="shared" si="1"/>
        <v>2.7728028</v>
      </c>
      <c r="U17" t="s">
        <v>128</v>
      </c>
      <c r="V17" s="63">
        <f t="shared" si="2"/>
        <v>26.92164986331758</v>
      </c>
      <c r="W17" s="63">
        <f t="shared" si="3"/>
        <v>26.92164986331758</v>
      </c>
      <c r="X17" s="63">
        <f t="shared" si="4"/>
        <v>26.92164986331758</v>
      </c>
      <c r="Y17" s="63">
        <f t="shared" si="5"/>
        <v>27.114782252380031</v>
      </c>
      <c r="Z17" s="63">
        <f t="shared" si="6"/>
        <v>27.241110760051736</v>
      </c>
      <c r="AA17" s="63">
        <f t="shared" si="7"/>
        <v>27.274853069919828</v>
      </c>
      <c r="AB17" s="63">
        <f t="shared" si="8"/>
        <v>27.292528037871548</v>
      </c>
      <c r="AC17" s="63">
        <f t="shared" si="9"/>
        <v>27.301997148682585</v>
      </c>
      <c r="AD17" s="63">
        <f t="shared" si="10"/>
        <v>27.307098687674394</v>
      </c>
      <c r="AE17" s="63">
        <f t="shared" si="11"/>
        <v>27.307098687674394</v>
      </c>
      <c r="AF17" s="63" t="str">
        <f t="shared" si="12"/>
        <v>comm refrigerationelectricityrefrigeration hi-eff</v>
      </c>
      <c r="AG17" s="63"/>
    </row>
    <row r="18" spans="1:33" s="13" customFormat="1" ht="14" customHeight="1" x14ac:dyDescent="0.2">
      <c r="A18" s="31" t="s">
        <v>57</v>
      </c>
      <c r="B18" s="21" t="s">
        <v>31</v>
      </c>
      <c r="C18" s="21" t="s">
        <v>44</v>
      </c>
      <c r="D18">
        <v>87.27</v>
      </c>
      <c r="E18">
        <v>87.27</v>
      </c>
      <c r="F18">
        <v>87.27</v>
      </c>
      <c r="G18">
        <v>87.27</v>
      </c>
      <c r="H18">
        <v>87.27</v>
      </c>
      <c r="I18">
        <v>87.27</v>
      </c>
      <c r="J18">
        <v>87.27</v>
      </c>
      <c r="K18">
        <v>87.27</v>
      </c>
      <c r="L18">
        <v>87.27</v>
      </c>
      <c r="M18">
        <v>87.27</v>
      </c>
      <c r="N18" s="21" t="s">
        <v>115</v>
      </c>
      <c r="O18" s="14">
        <f>[1]ktek_AT15_slim!$G$284</f>
        <v>0.4277070160240386</v>
      </c>
      <c r="P18"/>
      <c r="Q18">
        <v>0.25</v>
      </c>
      <c r="R18" s="14">
        <f>[1]ktek_AT15_slim!$J$284</f>
        <v>10</v>
      </c>
      <c r="S18">
        <v>0.15</v>
      </c>
      <c r="T18">
        <f t="shared" si="1"/>
        <v>1.3864014</v>
      </c>
      <c r="U18" t="s">
        <v>128</v>
      </c>
      <c r="V18" s="63">
        <f t="shared" si="2"/>
        <v>4.9613463650998524</v>
      </c>
      <c r="W18" s="63">
        <f t="shared" si="3"/>
        <v>4.9613463650998524</v>
      </c>
      <c r="X18" s="63">
        <f t="shared" si="4"/>
        <v>4.9613463650998524</v>
      </c>
      <c r="Y18" s="63">
        <f t="shared" si="5"/>
        <v>4.9613463650998524</v>
      </c>
      <c r="Z18" s="63">
        <f t="shared" si="6"/>
        <v>4.9613463650998524</v>
      </c>
      <c r="AA18" s="63">
        <f t="shared" si="7"/>
        <v>4.9613463650998524</v>
      </c>
      <c r="AB18" s="63">
        <f t="shared" si="8"/>
        <v>4.9613463650998524</v>
      </c>
      <c r="AC18" s="63">
        <f t="shared" si="9"/>
        <v>4.9613463650998524</v>
      </c>
      <c r="AD18" s="63">
        <f t="shared" si="10"/>
        <v>4.9613463650998524</v>
      </c>
      <c r="AE18" s="63">
        <f t="shared" si="11"/>
        <v>4.9613463650998524</v>
      </c>
      <c r="AF18" s="63" t="str">
        <f t="shared" si="12"/>
        <v>comm cookinggasgas range</v>
      </c>
      <c r="AG18" s="63"/>
    </row>
    <row r="19" spans="1:33" s="13" customFormat="1" ht="14" customHeight="1" x14ac:dyDescent="0.2">
      <c r="A19" s="31" t="s">
        <v>57</v>
      </c>
      <c r="B19" s="21" t="s">
        <v>31</v>
      </c>
      <c r="C19" s="21" t="s">
        <v>45</v>
      </c>
      <c r="D19">
        <v>87.27</v>
      </c>
      <c r="E19">
        <v>87.27</v>
      </c>
      <c r="F19">
        <v>87.27</v>
      </c>
      <c r="G19">
        <v>87.27</v>
      </c>
      <c r="H19">
        <v>87.27</v>
      </c>
      <c r="I19">
        <v>87.27</v>
      </c>
      <c r="J19">
        <v>87.27</v>
      </c>
      <c r="K19">
        <v>87.27</v>
      </c>
      <c r="L19">
        <v>87.27</v>
      </c>
      <c r="M19">
        <v>87.27</v>
      </c>
      <c r="N19" s="21" t="s">
        <v>115</v>
      </c>
      <c r="O19" s="14">
        <f>[1]ktek_AT15_slim!$G$285</f>
        <v>0.4277070160240386</v>
      </c>
      <c r="P19"/>
      <c r="Q19">
        <v>0.25</v>
      </c>
      <c r="R19" s="14">
        <f>[1]ktek_AT15_slim!$J$285</f>
        <v>10</v>
      </c>
      <c r="S19">
        <v>0.15</v>
      </c>
      <c r="T19">
        <f t="shared" si="1"/>
        <v>1.3864014</v>
      </c>
      <c r="U19" t="s">
        <v>128</v>
      </c>
      <c r="V19" s="63">
        <f t="shared" si="2"/>
        <v>4.9613463650998524</v>
      </c>
      <c r="W19" s="63">
        <f t="shared" si="3"/>
        <v>4.9613463650998524</v>
      </c>
      <c r="X19" s="63">
        <f t="shared" si="4"/>
        <v>4.9613463650998524</v>
      </c>
      <c r="Y19" s="63">
        <f t="shared" si="5"/>
        <v>4.9613463650998524</v>
      </c>
      <c r="Z19" s="63">
        <f t="shared" si="6"/>
        <v>4.9613463650998524</v>
      </c>
      <c r="AA19" s="63">
        <f t="shared" si="7"/>
        <v>4.9613463650998524</v>
      </c>
      <c r="AB19" s="63">
        <f t="shared" si="8"/>
        <v>4.9613463650998524</v>
      </c>
      <c r="AC19" s="63">
        <f t="shared" si="9"/>
        <v>4.9613463650998524</v>
      </c>
      <c r="AD19" s="63">
        <f t="shared" si="10"/>
        <v>4.9613463650998524</v>
      </c>
      <c r="AE19" s="63">
        <f t="shared" si="11"/>
        <v>4.9613463650998524</v>
      </c>
      <c r="AF19" s="63" t="str">
        <f t="shared" si="12"/>
        <v>comm cookinggasgas range hi-eff</v>
      </c>
      <c r="AG19" s="63"/>
    </row>
    <row r="20" spans="1:33" s="13" customFormat="1" ht="14" customHeight="1" x14ac:dyDescent="0.2">
      <c r="A20" s="31" t="s">
        <v>57</v>
      </c>
      <c r="B20" s="21" t="s">
        <v>7</v>
      </c>
      <c r="C20" s="21" t="s">
        <v>46</v>
      </c>
      <c r="D20">
        <v>203.24165203304599</v>
      </c>
      <c r="E20">
        <v>203.24165203304599</v>
      </c>
      <c r="F20">
        <v>203.24165203304599</v>
      </c>
      <c r="G20">
        <v>203.355495045303</v>
      </c>
      <c r="H20">
        <v>203.53916551555301</v>
      </c>
      <c r="I20">
        <v>203.841201743379</v>
      </c>
      <c r="J20">
        <v>204.335074374925</v>
      </c>
      <c r="K20">
        <v>205.135982722785</v>
      </c>
      <c r="L20">
        <v>206.431622577139</v>
      </c>
      <c r="M20">
        <v>206.431622577139</v>
      </c>
      <c r="N20" s="21" t="s">
        <v>115</v>
      </c>
      <c r="O20" s="14">
        <f>[1]ktek_AT15_slim!$G$282</f>
        <v>0.4277070160240386</v>
      </c>
      <c r="P20"/>
      <c r="Q20">
        <v>0.25</v>
      </c>
      <c r="R20" s="14">
        <f>[1]ktek_AT15_slim!$J$282</f>
        <v>10</v>
      </c>
      <c r="S20">
        <v>0.15</v>
      </c>
      <c r="T20">
        <f t="shared" si="1"/>
        <v>1.3864014</v>
      </c>
      <c r="U20" t="s">
        <v>128</v>
      </c>
      <c r="V20" s="63">
        <f t="shared" si="2"/>
        <v>11.441010052517086</v>
      </c>
      <c r="W20" s="63">
        <f t="shared" si="3"/>
        <v>11.441010052517086</v>
      </c>
      <c r="X20" s="63">
        <f t="shared" si="4"/>
        <v>11.441010052517086</v>
      </c>
      <c r="Y20" s="63">
        <f t="shared" si="5"/>
        <v>11.447370783089223</v>
      </c>
      <c r="Z20" s="63">
        <f t="shared" si="6"/>
        <v>11.45763297092277</v>
      </c>
      <c r="AA20" s="63">
        <f t="shared" si="7"/>
        <v>11.474508587881049</v>
      </c>
      <c r="AB20" s="63">
        <f t="shared" si="8"/>
        <v>11.502102646435342</v>
      </c>
      <c r="AC20" s="63">
        <f t="shared" si="9"/>
        <v>11.546851657487618</v>
      </c>
      <c r="AD20" s="63">
        <f t="shared" si="10"/>
        <v>11.619242714862882</v>
      </c>
      <c r="AE20" s="63">
        <f t="shared" si="11"/>
        <v>11.619242714862882</v>
      </c>
      <c r="AF20" s="63" t="str">
        <f t="shared" si="12"/>
        <v>comm cookingelectricityelectric range</v>
      </c>
      <c r="AG20" s="63"/>
    </row>
    <row r="21" spans="1:33" s="13" customFormat="1" ht="14" customHeight="1" x14ac:dyDescent="0.2">
      <c r="A21" s="31" t="s">
        <v>57</v>
      </c>
      <c r="B21" s="21" t="s">
        <v>7</v>
      </c>
      <c r="C21" s="21" t="s">
        <v>47</v>
      </c>
      <c r="D21">
        <v>203.24165203304599</v>
      </c>
      <c r="E21">
        <v>203.24165203304599</v>
      </c>
      <c r="F21">
        <v>203.24165203304599</v>
      </c>
      <c r="G21">
        <v>203.355495045303</v>
      </c>
      <c r="H21">
        <v>203.53916551555301</v>
      </c>
      <c r="I21">
        <v>203.841201743379</v>
      </c>
      <c r="J21">
        <v>204.335074374925</v>
      </c>
      <c r="K21">
        <v>205.135982722785</v>
      </c>
      <c r="L21">
        <v>206.431622577139</v>
      </c>
      <c r="M21">
        <v>206.431622577139</v>
      </c>
      <c r="N21" s="21" t="s">
        <v>115</v>
      </c>
      <c r="O21" s="14">
        <f>[1]ktek_AT15_slim!$G$283</f>
        <v>0.4277070160240386</v>
      </c>
      <c r="P21"/>
      <c r="Q21">
        <v>0.25</v>
      </c>
      <c r="R21" s="14">
        <f>[1]ktek_AT15_slim!$J$283</f>
        <v>10</v>
      </c>
      <c r="S21">
        <v>0.15</v>
      </c>
      <c r="T21">
        <f t="shared" si="1"/>
        <v>1.3864014</v>
      </c>
      <c r="U21" t="s">
        <v>128</v>
      </c>
      <c r="V21" s="63">
        <f t="shared" si="2"/>
        <v>11.441010052517086</v>
      </c>
      <c r="W21" s="63">
        <f t="shared" si="3"/>
        <v>11.441010052517086</v>
      </c>
      <c r="X21" s="63">
        <f t="shared" si="4"/>
        <v>11.441010052517086</v>
      </c>
      <c r="Y21" s="63">
        <f t="shared" si="5"/>
        <v>11.447370783089223</v>
      </c>
      <c r="Z21" s="63">
        <f t="shared" si="6"/>
        <v>11.45763297092277</v>
      </c>
      <c r="AA21" s="63">
        <f t="shared" si="7"/>
        <v>11.474508587881049</v>
      </c>
      <c r="AB21" s="63">
        <f t="shared" si="8"/>
        <v>11.502102646435342</v>
      </c>
      <c r="AC21" s="63">
        <f t="shared" si="9"/>
        <v>11.546851657487618</v>
      </c>
      <c r="AD21" s="63">
        <f t="shared" si="10"/>
        <v>11.619242714862882</v>
      </c>
      <c r="AE21" s="63">
        <f t="shared" si="11"/>
        <v>11.619242714862882</v>
      </c>
      <c r="AF21" s="63" t="str">
        <f t="shared" si="12"/>
        <v>comm cookingelectricityelectric range hi-eff</v>
      </c>
      <c r="AG21" s="63"/>
    </row>
    <row r="22" spans="1:33" s="13" customFormat="1" ht="14" customHeight="1" x14ac:dyDescent="0.2">
      <c r="A22" s="30" t="s">
        <v>58</v>
      </c>
      <c r="B22" s="20" t="s">
        <v>7</v>
      </c>
      <c r="C22" s="20" t="s">
        <v>29</v>
      </c>
      <c r="D22">
        <v>100.2</v>
      </c>
      <c r="E22">
        <v>100.2</v>
      </c>
      <c r="F22">
        <v>100.2</v>
      </c>
      <c r="G22">
        <v>100.2</v>
      </c>
      <c r="H22">
        <v>100.2</v>
      </c>
      <c r="I22">
        <v>100.2</v>
      </c>
      <c r="J22">
        <v>100.2</v>
      </c>
      <c r="K22">
        <v>100.2</v>
      </c>
      <c r="L22">
        <v>100.2</v>
      </c>
      <c r="M22">
        <v>100.2</v>
      </c>
      <c r="N22" s="20" t="s">
        <v>48</v>
      </c>
      <c r="O22" s="12">
        <f>[1]ktek_AT15_slim!$G$298</f>
        <v>5.2356579575338422</v>
      </c>
      <c r="P22"/>
      <c r="Q22">
        <v>0.25</v>
      </c>
      <c r="R22" s="12">
        <f>[1]ktek_AT15_slim!$J$298</f>
        <v>15</v>
      </c>
      <c r="S22" s="67">
        <v>0.4</v>
      </c>
      <c r="T22" s="68">
        <f>1000/1000000*8760*S22</f>
        <v>3.504</v>
      </c>
      <c r="U22" s="13" t="s">
        <v>127</v>
      </c>
      <c r="V22" s="63">
        <f t="shared" si="2"/>
        <v>2.4626231439196049</v>
      </c>
      <c r="W22" s="63">
        <f t="shared" si="3"/>
        <v>2.4626231439196049</v>
      </c>
      <c r="X22" s="63">
        <f t="shared" si="4"/>
        <v>2.4626231439196049</v>
      </c>
      <c r="Y22" s="63">
        <f t="shared" si="5"/>
        <v>2.4626231439196049</v>
      </c>
      <c r="Z22" s="63">
        <f t="shared" si="6"/>
        <v>2.4626231439196049</v>
      </c>
      <c r="AA22" s="63">
        <f t="shared" si="7"/>
        <v>2.4626231439196049</v>
      </c>
      <c r="AB22" s="63">
        <f t="shared" si="8"/>
        <v>2.4626231439196049</v>
      </c>
      <c r="AC22" s="63">
        <f t="shared" si="9"/>
        <v>2.4626231439196049</v>
      </c>
      <c r="AD22" s="63">
        <f t="shared" si="10"/>
        <v>2.4626231439196049</v>
      </c>
      <c r="AE22" s="63">
        <f t="shared" si="11"/>
        <v>2.4626231439196049</v>
      </c>
      <c r="AF22" s="63" t="str">
        <f t="shared" si="12"/>
        <v>comm lightingelectricityincandescent</v>
      </c>
      <c r="AG22" s="63"/>
    </row>
    <row r="23" spans="1:33" s="13" customFormat="1" ht="14" customHeight="1" x14ac:dyDescent="0.2">
      <c r="A23" s="30" t="s">
        <v>58</v>
      </c>
      <c r="B23" s="20" t="s">
        <v>7</v>
      </c>
      <c r="C23" s="20" t="s">
        <v>28</v>
      </c>
      <c r="D23">
        <v>19.09</v>
      </c>
      <c r="E23">
        <v>19.09</v>
      </c>
      <c r="F23">
        <v>19.09</v>
      </c>
      <c r="G23">
        <v>19.09</v>
      </c>
      <c r="H23">
        <v>19.09</v>
      </c>
      <c r="I23">
        <v>19.09</v>
      </c>
      <c r="J23">
        <v>19.09</v>
      </c>
      <c r="K23">
        <v>19.09</v>
      </c>
      <c r="L23">
        <v>19.09</v>
      </c>
      <c r="M23">
        <v>19.09</v>
      </c>
      <c r="N23" s="20" t="s">
        <v>48</v>
      </c>
      <c r="O23" s="12">
        <f>[1]ktek_AT15_slim!$G$349</f>
        <v>0.45965488856231362</v>
      </c>
      <c r="P23"/>
      <c r="Q23">
        <v>0.25</v>
      </c>
      <c r="R23" s="12">
        <f>[1]ktek_AT15_slim!$J$349</f>
        <v>15</v>
      </c>
      <c r="S23" s="67">
        <v>0.4</v>
      </c>
      <c r="T23" s="68">
        <f>1000/1000000*8760*S23</f>
        <v>3.504</v>
      </c>
      <c r="U23" s="13" t="s">
        <v>127</v>
      </c>
      <c r="V23" s="63">
        <f t="shared" si="2"/>
        <v>0.42672365713020277</v>
      </c>
      <c r="W23" s="63">
        <f t="shared" si="3"/>
        <v>0.42672365713020277</v>
      </c>
      <c r="X23" s="63">
        <f t="shared" si="4"/>
        <v>0.42672365713020277</v>
      </c>
      <c r="Y23" s="63">
        <f t="shared" si="5"/>
        <v>0.42672365713020277</v>
      </c>
      <c r="Z23" s="63">
        <f t="shared" si="6"/>
        <v>0.42672365713020277</v>
      </c>
      <c r="AA23" s="63">
        <f t="shared" si="7"/>
        <v>0.42672365713020277</v>
      </c>
      <c r="AB23" s="63">
        <f t="shared" si="8"/>
        <v>0.42672365713020277</v>
      </c>
      <c r="AC23" s="63">
        <f t="shared" si="9"/>
        <v>0.42672365713020277</v>
      </c>
      <c r="AD23" s="63">
        <f t="shared" si="10"/>
        <v>0.42672365713020277</v>
      </c>
      <c r="AE23" s="63">
        <f t="shared" si="11"/>
        <v>0.42672365713020277</v>
      </c>
      <c r="AF23" s="63" t="str">
        <f t="shared" si="12"/>
        <v>comm lightingelectricityfluorescent</v>
      </c>
      <c r="AG23" s="63"/>
    </row>
    <row r="24" spans="1:33" s="13" customFormat="1" ht="14" customHeight="1" x14ac:dyDescent="0.2">
      <c r="A24" s="30" t="s">
        <v>58</v>
      </c>
      <c r="B24" s="20" t="s">
        <v>7</v>
      </c>
      <c r="C24" s="20" t="s">
        <v>30</v>
      </c>
      <c r="D24">
        <v>21.425313603564501</v>
      </c>
      <c r="E24">
        <v>21.425313603564501</v>
      </c>
      <c r="F24">
        <v>21.425313603564501</v>
      </c>
      <c r="G24">
        <v>24.696523446482001</v>
      </c>
      <c r="H24">
        <v>27.498942603576701</v>
      </c>
      <c r="I24">
        <v>29.738705768039701</v>
      </c>
      <c r="J24">
        <v>35.175684385999702</v>
      </c>
      <c r="K24">
        <v>43.432152414085998</v>
      </c>
      <c r="L24">
        <v>63.6860456834468</v>
      </c>
      <c r="M24">
        <v>63.6860456834468</v>
      </c>
      <c r="N24" s="20" t="s">
        <v>48</v>
      </c>
      <c r="O24" s="12">
        <f>[1]ktek_AT15_slim!$G$355</f>
        <v>0.6189452323527489</v>
      </c>
      <c r="P24"/>
      <c r="Q24">
        <v>0.25</v>
      </c>
      <c r="R24" s="12">
        <f>[1]ktek_AT15_slim!$J$355</f>
        <v>15</v>
      </c>
      <c r="S24" s="67">
        <v>0.4</v>
      </c>
      <c r="T24" s="68">
        <f>1000/1000000*8760*S24</f>
        <v>3.504</v>
      </c>
      <c r="U24" s="13" t="s">
        <v>127</v>
      </c>
      <c r="V24" s="63">
        <f t="shared" si="2"/>
        <v>0.48706028200634571</v>
      </c>
      <c r="W24" s="63">
        <f t="shared" si="3"/>
        <v>0.48706028200634571</v>
      </c>
      <c r="X24" s="63">
        <f t="shared" si="4"/>
        <v>0.48706028200634571</v>
      </c>
      <c r="Y24" s="63">
        <f t="shared" si="5"/>
        <v>0.55396535225736265</v>
      </c>
      <c r="Z24" s="63">
        <f t="shared" si="6"/>
        <v>0.61128238772182997</v>
      </c>
      <c r="AA24" s="63">
        <f t="shared" si="7"/>
        <v>0.65709158953396085</v>
      </c>
      <c r="AB24" s="63">
        <f t="shared" si="8"/>
        <v>0.76829247662332667</v>
      </c>
      <c r="AC24" s="63">
        <f t="shared" si="9"/>
        <v>0.93715953192410162</v>
      </c>
      <c r="AD24" s="63">
        <f t="shared" si="10"/>
        <v>1.3514063143422603</v>
      </c>
      <c r="AE24" s="63">
        <f t="shared" si="11"/>
        <v>1.3514063143422603</v>
      </c>
      <c r="AF24" s="63" t="str">
        <f t="shared" si="12"/>
        <v>comm lightingelectricitysolid state</v>
      </c>
      <c r="AG24" s="63"/>
    </row>
    <row r="25" spans="1:33" s="13" customFormat="1" ht="14" customHeight="1" x14ac:dyDescent="0.2">
      <c r="A25" s="28" t="s">
        <v>56</v>
      </c>
      <c r="B25" s="18" t="s">
        <v>7</v>
      </c>
      <c r="C25" s="18" t="s">
        <v>39</v>
      </c>
      <c r="D25">
        <v>4758.1991847489599</v>
      </c>
      <c r="E25">
        <v>4758.1991847489599</v>
      </c>
      <c r="F25">
        <v>4758.1991847489599</v>
      </c>
      <c r="G25">
        <v>4793.1621205592901</v>
      </c>
      <c r="H25">
        <v>4900.2489731326896</v>
      </c>
      <c r="I25">
        <v>4970.4092208470101</v>
      </c>
      <c r="J25">
        <v>5016.99792491669</v>
      </c>
      <c r="K25">
        <v>5049.0588421707398</v>
      </c>
      <c r="L25">
        <v>5071.2356949638897</v>
      </c>
      <c r="M25">
        <v>5071.2356949638897</v>
      </c>
      <c r="N25" s="18" t="s">
        <v>49</v>
      </c>
      <c r="O25" s="11">
        <f>[1]ktek_AT15_slim!$G$260</f>
        <v>32.64580281988389</v>
      </c>
      <c r="P25"/>
      <c r="Q25">
        <v>0.25</v>
      </c>
      <c r="R25" s="11">
        <f>[1]ktek_AT15_slim!$J$260</f>
        <v>20</v>
      </c>
      <c r="S25" s="13">
        <v>0.5</v>
      </c>
      <c r="T25" s="68">
        <f>1000*0.02831*60*8760*S25/1000000</f>
        <v>7.4398679999999997</v>
      </c>
      <c r="U25" s="6" t="s">
        <v>129</v>
      </c>
      <c r="V25" s="63">
        <f t="shared" si="2"/>
        <v>45.951207575139215</v>
      </c>
      <c r="W25" s="63">
        <f t="shared" si="3"/>
        <v>45.951207575139215</v>
      </c>
      <c r="X25" s="63">
        <f t="shared" si="4"/>
        <v>45.951207575139215</v>
      </c>
      <c r="Y25" s="63">
        <f t="shared" si="5"/>
        <v>46.279936469008405</v>
      </c>
      <c r="Z25" s="63">
        <f t="shared" si="6"/>
        <v>47.286789634467851</v>
      </c>
      <c r="AA25" s="63">
        <f t="shared" si="7"/>
        <v>47.946451075653293</v>
      </c>
      <c r="AB25" s="63">
        <f t="shared" si="8"/>
        <v>48.384487893805733</v>
      </c>
      <c r="AC25" s="63">
        <f t="shared" si="9"/>
        <v>48.685931397364186</v>
      </c>
      <c r="AD25" s="63">
        <f t="shared" si="10"/>
        <v>48.894442842963052</v>
      </c>
      <c r="AE25" s="63">
        <f t="shared" si="11"/>
        <v>48.894442842963052</v>
      </c>
      <c r="AF25" s="63" t="str">
        <f t="shared" si="12"/>
        <v>comm ventilationelectricityventilation</v>
      </c>
      <c r="AG25" s="63"/>
    </row>
    <row r="26" spans="1:33" s="13" customFormat="1" ht="14" customHeight="1" x14ac:dyDescent="0.2">
      <c r="A26" s="28" t="s">
        <v>56</v>
      </c>
      <c r="B26" s="18" t="s">
        <v>7</v>
      </c>
      <c r="C26" s="18" t="s">
        <v>40</v>
      </c>
      <c r="D26">
        <v>6089.81097220836</v>
      </c>
      <c r="E26">
        <v>6089.81097220836</v>
      </c>
      <c r="F26">
        <v>6089.81097220836</v>
      </c>
      <c r="G26">
        <v>6124.7739080186802</v>
      </c>
      <c r="H26">
        <v>6231.8607605920797</v>
      </c>
      <c r="I26">
        <v>6302.0210083064103</v>
      </c>
      <c r="J26">
        <v>6348.6097123760901</v>
      </c>
      <c r="K26">
        <v>6380.67062963014</v>
      </c>
      <c r="L26">
        <v>6402.8474824232899</v>
      </c>
      <c r="M26">
        <v>6402.8474824232899</v>
      </c>
      <c r="N26" s="18" t="s">
        <v>49</v>
      </c>
      <c r="O26" s="11">
        <f>[1]ktek_AT15_slim!$G$274</f>
        <v>18.937803824524028</v>
      </c>
      <c r="P26"/>
      <c r="Q26">
        <v>0.25</v>
      </c>
      <c r="R26" s="11">
        <f>[1]ktek_AT15_slim!$J$274</f>
        <v>20</v>
      </c>
      <c r="S26" s="13">
        <v>0.5</v>
      </c>
      <c r="T26" s="68">
        <f>1000*0.02831*60*8760*S26/1000000</f>
        <v>7.4398679999999997</v>
      </c>
      <c r="U26" s="6" t="s">
        <v>129</v>
      </c>
      <c r="V26" s="63">
        <f t="shared" si="2"/>
        <v>57.961704157812491</v>
      </c>
      <c r="W26" s="63">
        <f t="shared" si="3"/>
        <v>57.961704157812491</v>
      </c>
      <c r="X26" s="63">
        <f t="shared" si="4"/>
        <v>57.961704157812491</v>
      </c>
      <c r="Y26" s="63">
        <f t="shared" si="5"/>
        <v>58.290433051681589</v>
      </c>
      <c r="Z26" s="63">
        <f t="shared" si="6"/>
        <v>59.297286217141036</v>
      </c>
      <c r="AA26" s="63">
        <f t="shared" si="7"/>
        <v>59.956947658326577</v>
      </c>
      <c r="AB26" s="63">
        <f t="shared" si="8"/>
        <v>60.39498447647901</v>
      </c>
      <c r="AC26" s="63">
        <f t="shared" si="9"/>
        <v>60.696427980037463</v>
      </c>
      <c r="AD26" s="63">
        <f t="shared" si="10"/>
        <v>60.904939425636329</v>
      </c>
      <c r="AE26" s="63">
        <f t="shared" si="11"/>
        <v>60.904939425636329</v>
      </c>
      <c r="AF26" s="63" t="str">
        <f t="shared" si="12"/>
        <v>comm ventilationelectricityventilation hi-eff</v>
      </c>
      <c r="AG26" s="63"/>
    </row>
    <row r="27" spans="1:33" s="13" customFormat="1" ht="14" customHeight="1" x14ac:dyDescent="0.2">
      <c r="A27" s="33" t="s">
        <v>62</v>
      </c>
      <c r="B27" s="23" t="s">
        <v>7</v>
      </c>
      <c r="C27" s="23" t="s">
        <v>63</v>
      </c>
      <c r="D27" s="6"/>
      <c r="E27" s="6"/>
      <c r="F27" s="6"/>
      <c r="G27" s="6"/>
      <c r="H27" s="6"/>
      <c r="I27" s="6"/>
      <c r="J27" s="6"/>
      <c r="K27" s="6"/>
      <c r="L27" s="6"/>
      <c r="M27" s="34"/>
      <c r="N27" s="43"/>
      <c r="O27" s="43"/>
    </row>
    <row r="28" spans="1:33" s="13" customFormat="1" ht="14" customHeight="1" x14ac:dyDescent="0.2">
      <c r="A28" s="33" t="s">
        <v>64</v>
      </c>
      <c r="B28" s="23" t="s">
        <v>31</v>
      </c>
      <c r="C28" s="23" t="s">
        <v>31</v>
      </c>
      <c r="D28" s="6"/>
      <c r="E28" s="6"/>
      <c r="F28" s="6"/>
      <c r="G28" s="6"/>
      <c r="H28" s="6"/>
      <c r="I28" s="6"/>
      <c r="J28" s="6"/>
      <c r="K28" s="6"/>
      <c r="L28" s="6"/>
      <c r="M28" s="34"/>
      <c r="N28" s="23"/>
      <c r="O28" s="23"/>
      <c r="P28" s="6"/>
    </row>
    <row r="29" spans="1:33" s="13" customFormat="1" ht="14" customHeight="1" x14ac:dyDescent="0.2">
      <c r="A29" s="33" t="s">
        <v>64</v>
      </c>
      <c r="B29" s="23" t="s">
        <v>7</v>
      </c>
      <c r="C29" s="23" t="s">
        <v>7</v>
      </c>
      <c r="M29" s="35"/>
      <c r="N29" s="23"/>
      <c r="O29" s="23"/>
    </row>
    <row r="30" spans="1:33" s="13" customFormat="1" ht="14" customHeight="1" x14ac:dyDescent="0.2">
      <c r="A30" s="33" t="s">
        <v>64</v>
      </c>
      <c r="B30" s="23" t="s">
        <v>8</v>
      </c>
      <c r="C30" s="23" t="s">
        <v>8</v>
      </c>
      <c r="M30" s="35"/>
      <c r="N30" s="23"/>
      <c r="O30" s="23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</row>
    <row r="31" spans="1:33" ht="14" customHeight="1" thickBot="1" x14ac:dyDescent="0.25">
      <c r="A31" s="36" t="s">
        <v>65</v>
      </c>
      <c r="B31" s="24" t="s">
        <v>7</v>
      </c>
      <c r="C31" s="24" t="s">
        <v>7</v>
      </c>
      <c r="D31" s="25"/>
      <c r="E31" s="25"/>
      <c r="F31" s="25"/>
      <c r="G31" s="25"/>
      <c r="H31" s="25"/>
      <c r="I31" s="25"/>
      <c r="J31" s="25"/>
      <c r="K31" s="25"/>
      <c r="L31" s="25"/>
      <c r="M31" s="37"/>
      <c r="N31" s="24"/>
      <c r="O31" s="24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</row>
    <row r="32" spans="1:33" x14ac:dyDescent="0.2"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1"/>
  <sheetViews>
    <sheetView topLeftCell="B1" zoomScaleNormal="100" workbookViewId="0">
      <selection activeCell="J43" sqref="J43"/>
    </sheetView>
  </sheetViews>
  <sheetFormatPr baseColWidth="10" defaultColWidth="8.83203125" defaultRowHeight="15" x14ac:dyDescent="0.2"/>
  <cols>
    <col min="1" max="1" width="16" bestFit="1" customWidth="1"/>
    <col min="2" max="2" width="14.1640625" bestFit="1" customWidth="1"/>
    <col min="3" max="3" width="30" bestFit="1" customWidth="1"/>
    <col min="4" max="13" width="6.6640625" customWidth="1"/>
    <col min="14" max="14" width="13" customWidth="1"/>
    <col min="28" max="28" width="16" bestFit="1" customWidth="1"/>
  </cols>
  <sheetData>
    <row r="1" spans="1:29" ht="16" thickBot="1" x14ac:dyDescent="0.25">
      <c r="D1" t="s">
        <v>93</v>
      </c>
      <c r="R1" t="s">
        <v>87</v>
      </c>
    </row>
    <row r="2" spans="1:29" ht="14" customHeight="1" thickBot="1" x14ac:dyDescent="0.25">
      <c r="A2" s="26" t="s">
        <v>1</v>
      </c>
      <c r="B2" s="16" t="s">
        <v>2</v>
      </c>
      <c r="C2" s="16" t="s">
        <v>0</v>
      </c>
      <c r="D2" s="15">
        <v>2010</v>
      </c>
      <c r="E2" s="8">
        <v>2015</v>
      </c>
      <c r="F2" s="8">
        <v>2020</v>
      </c>
      <c r="G2" s="8">
        <v>2025</v>
      </c>
      <c r="H2" s="8">
        <v>2030</v>
      </c>
      <c r="I2" s="8">
        <v>2035</v>
      </c>
      <c r="J2" s="8">
        <v>2040</v>
      </c>
      <c r="K2" s="73">
        <v>2045</v>
      </c>
      <c r="L2" s="73">
        <v>2050</v>
      </c>
      <c r="M2" s="9">
        <v>2100</v>
      </c>
      <c r="N2" s="16" t="s">
        <v>34</v>
      </c>
      <c r="O2" t="s">
        <v>144</v>
      </c>
      <c r="R2" s="15">
        <v>2010</v>
      </c>
      <c r="S2" s="8">
        <v>2015</v>
      </c>
      <c r="T2" s="8">
        <v>2020</v>
      </c>
      <c r="U2" s="8">
        <v>2025</v>
      </c>
      <c r="V2" s="8">
        <v>2030</v>
      </c>
      <c r="W2" s="8">
        <v>2035</v>
      </c>
      <c r="X2" s="8">
        <v>2040</v>
      </c>
      <c r="Y2" s="73">
        <v>2045</v>
      </c>
      <c r="Z2" s="73">
        <v>2050</v>
      </c>
      <c r="AA2" s="9">
        <v>2100</v>
      </c>
      <c r="AB2" s="16" t="s">
        <v>34</v>
      </c>
    </row>
    <row r="3" spans="1:29" ht="14" customHeight="1" x14ac:dyDescent="0.2">
      <c r="A3" s="38" t="s">
        <v>70</v>
      </c>
      <c r="B3" s="39" t="s">
        <v>31</v>
      </c>
      <c r="C3" s="39" t="s">
        <v>15</v>
      </c>
      <c r="D3">
        <v>0.85942170145210095</v>
      </c>
      <c r="E3">
        <v>0.85942170145210095</v>
      </c>
      <c r="F3">
        <v>0.85942170145210095</v>
      </c>
      <c r="G3">
        <v>0.85942170145210095</v>
      </c>
      <c r="H3">
        <v>0.85942170145210095</v>
      </c>
      <c r="I3">
        <v>0.85942170145210095</v>
      </c>
      <c r="J3">
        <v>0.85942170145210095</v>
      </c>
      <c r="K3">
        <v>0.85942170145210095</v>
      </c>
      <c r="L3">
        <v>0.85942170145210095</v>
      </c>
      <c r="M3">
        <v>0.85942170145210095</v>
      </c>
      <c r="N3" s="39" t="s">
        <v>43</v>
      </c>
      <c r="O3" t="s">
        <v>136</v>
      </c>
      <c r="R3" s="40">
        <f>D3</f>
        <v>0.85942170145210095</v>
      </c>
      <c r="S3" s="40">
        <f t="shared" ref="S3:S17" si="0">E3</f>
        <v>0.85942170145210095</v>
      </c>
      <c r="T3" s="40">
        <f t="shared" ref="T3:T17" si="1">F3</f>
        <v>0.85942170145210095</v>
      </c>
      <c r="U3" s="40">
        <f t="shared" ref="U3:U17" si="2">G3</f>
        <v>0.85942170145210095</v>
      </c>
      <c r="V3" s="40">
        <f t="shared" ref="V3:V17" si="3">H3</f>
        <v>0.85942170145210095</v>
      </c>
      <c r="W3" s="40">
        <f t="shared" ref="W3:W17" si="4">I3</f>
        <v>0.85942170145210095</v>
      </c>
      <c r="X3" s="40">
        <f t="shared" ref="X3:X17" si="5">J3</f>
        <v>0.85942170145210095</v>
      </c>
      <c r="Y3" s="40">
        <f t="shared" ref="Y3:Y17" si="6">K3</f>
        <v>0.85942170145210095</v>
      </c>
      <c r="Z3" s="40">
        <f t="shared" ref="Z3:Z17" si="7">L3</f>
        <v>0.85942170145210095</v>
      </c>
      <c r="AA3" s="41">
        <f t="shared" ref="AA3:AA17" si="8">M3</f>
        <v>0.85942170145210095</v>
      </c>
      <c r="AB3" s="39" t="s">
        <v>43</v>
      </c>
      <c r="AC3" s="6" t="str">
        <f>A3&amp;B3&amp;C3</f>
        <v>resid heatinggasgas furnace</v>
      </c>
    </row>
    <row r="4" spans="1:29" ht="14" customHeight="1" x14ac:dyDescent="0.2">
      <c r="A4" s="27" t="s">
        <v>70</v>
      </c>
      <c r="B4" s="17" t="s">
        <v>31</v>
      </c>
      <c r="C4" s="17" t="s">
        <v>16</v>
      </c>
      <c r="D4">
        <v>0.93</v>
      </c>
      <c r="E4">
        <v>0.93</v>
      </c>
      <c r="F4">
        <v>0.93</v>
      </c>
      <c r="G4">
        <v>0.93</v>
      </c>
      <c r="H4">
        <v>0.93</v>
      </c>
      <c r="I4">
        <v>0.93</v>
      </c>
      <c r="J4">
        <v>0.93</v>
      </c>
      <c r="K4">
        <v>0.93</v>
      </c>
      <c r="L4">
        <v>0.93</v>
      </c>
      <c r="M4">
        <v>0.93</v>
      </c>
      <c r="N4" s="17" t="s">
        <v>43</v>
      </c>
      <c r="O4" t="s">
        <v>136</v>
      </c>
      <c r="R4" s="10">
        <f t="shared" ref="R4:R17" si="9">D4</f>
        <v>0.93</v>
      </c>
      <c r="S4" s="10">
        <f t="shared" si="0"/>
        <v>0.93</v>
      </c>
      <c r="T4" s="10">
        <f t="shared" si="1"/>
        <v>0.93</v>
      </c>
      <c r="U4" s="10">
        <f t="shared" si="2"/>
        <v>0.93</v>
      </c>
      <c r="V4" s="10">
        <f t="shared" si="3"/>
        <v>0.93</v>
      </c>
      <c r="W4" s="10">
        <f t="shared" si="4"/>
        <v>0.93</v>
      </c>
      <c r="X4" s="10">
        <f t="shared" si="5"/>
        <v>0.93</v>
      </c>
      <c r="Y4" s="10">
        <f t="shared" si="6"/>
        <v>0.93</v>
      </c>
      <c r="Z4" s="10">
        <f t="shared" si="7"/>
        <v>0.93</v>
      </c>
      <c r="AA4" s="1">
        <f t="shared" si="8"/>
        <v>0.93</v>
      </c>
      <c r="AB4" s="17" t="s">
        <v>43</v>
      </c>
      <c r="AC4" s="6" t="str">
        <f t="shared" ref="AC4:AC35" si="10">A4&amp;B4&amp;C4</f>
        <v>resid heatinggasgas furnace hi-eff</v>
      </c>
    </row>
    <row r="5" spans="1:29" ht="14" customHeight="1" x14ac:dyDescent="0.2">
      <c r="A5" s="17" t="s">
        <v>70</v>
      </c>
      <c r="B5" s="17" t="s">
        <v>7</v>
      </c>
      <c r="C5" s="17" t="s">
        <v>17</v>
      </c>
      <c r="D5">
        <v>0.98</v>
      </c>
      <c r="E5">
        <v>0.98</v>
      </c>
      <c r="F5">
        <v>0.98</v>
      </c>
      <c r="G5">
        <v>0.98</v>
      </c>
      <c r="H5">
        <v>0.98</v>
      </c>
      <c r="I5">
        <v>0.98</v>
      </c>
      <c r="J5">
        <v>0.98</v>
      </c>
      <c r="K5">
        <v>0.98</v>
      </c>
      <c r="L5">
        <v>0.98</v>
      </c>
      <c r="M5">
        <v>0.98</v>
      </c>
      <c r="N5" s="17" t="s">
        <v>43</v>
      </c>
      <c r="O5" t="s">
        <v>136</v>
      </c>
      <c r="R5" s="10">
        <f t="shared" si="9"/>
        <v>0.98</v>
      </c>
      <c r="S5" s="10">
        <f t="shared" si="0"/>
        <v>0.98</v>
      </c>
      <c r="T5" s="10">
        <f t="shared" si="1"/>
        <v>0.98</v>
      </c>
      <c r="U5" s="10">
        <f t="shared" si="2"/>
        <v>0.98</v>
      </c>
      <c r="V5" s="10">
        <f t="shared" si="3"/>
        <v>0.98</v>
      </c>
      <c r="W5" s="10">
        <f t="shared" si="4"/>
        <v>0.98</v>
      </c>
      <c r="X5" s="10">
        <f t="shared" si="5"/>
        <v>0.98</v>
      </c>
      <c r="Y5" s="10">
        <f t="shared" si="6"/>
        <v>0.98</v>
      </c>
      <c r="Z5" s="10">
        <f t="shared" si="7"/>
        <v>0.98</v>
      </c>
      <c r="AA5" s="1">
        <f t="shared" si="8"/>
        <v>0.98</v>
      </c>
      <c r="AB5" s="17" t="s">
        <v>43</v>
      </c>
      <c r="AC5" s="6" t="str">
        <f t="shared" si="10"/>
        <v>resid heatingelectricityelectric furnace</v>
      </c>
    </row>
    <row r="6" spans="1:29" ht="14" customHeight="1" x14ac:dyDescent="0.2">
      <c r="A6" s="27" t="s">
        <v>70</v>
      </c>
      <c r="B6" s="17" t="s">
        <v>7</v>
      </c>
      <c r="C6" s="17" t="s">
        <v>18</v>
      </c>
      <c r="D6">
        <v>2.7</v>
      </c>
      <c r="E6">
        <v>2.7</v>
      </c>
      <c r="F6">
        <v>2.7</v>
      </c>
      <c r="G6">
        <v>2.7</v>
      </c>
      <c r="H6">
        <v>2.7</v>
      </c>
      <c r="I6">
        <v>2.7</v>
      </c>
      <c r="J6">
        <v>2.7</v>
      </c>
      <c r="K6">
        <v>2.7</v>
      </c>
      <c r="L6">
        <v>2.7</v>
      </c>
      <c r="M6">
        <v>2.7</v>
      </c>
      <c r="N6" s="17" t="s">
        <v>43</v>
      </c>
      <c r="O6" t="s">
        <v>137</v>
      </c>
      <c r="R6" s="10">
        <f t="shared" si="9"/>
        <v>2.7</v>
      </c>
      <c r="S6" s="10">
        <f t="shared" si="0"/>
        <v>2.7</v>
      </c>
      <c r="T6" s="10">
        <f t="shared" si="1"/>
        <v>2.7</v>
      </c>
      <c r="U6" s="10">
        <f t="shared" si="2"/>
        <v>2.7</v>
      </c>
      <c r="V6" s="10">
        <f t="shared" si="3"/>
        <v>2.7</v>
      </c>
      <c r="W6" s="10">
        <f t="shared" si="4"/>
        <v>2.7</v>
      </c>
      <c r="X6" s="10">
        <f t="shared" si="5"/>
        <v>2.7</v>
      </c>
      <c r="Y6" s="10">
        <f t="shared" si="6"/>
        <v>2.7</v>
      </c>
      <c r="Z6" s="10">
        <f t="shared" si="7"/>
        <v>2.7</v>
      </c>
      <c r="AA6" s="1">
        <f t="shared" si="8"/>
        <v>2.7</v>
      </c>
      <c r="AB6" s="17" t="s">
        <v>43</v>
      </c>
      <c r="AC6" s="6" t="str">
        <f t="shared" si="10"/>
        <v>resid heatingelectricityelectric heat pump</v>
      </c>
    </row>
    <row r="7" spans="1:29" ht="14" customHeight="1" x14ac:dyDescent="0.2">
      <c r="A7" s="27" t="s">
        <v>70</v>
      </c>
      <c r="B7" s="17" t="s">
        <v>8</v>
      </c>
      <c r="C7" s="17" t="s">
        <v>19</v>
      </c>
      <c r="D7">
        <v>0.84</v>
      </c>
      <c r="E7">
        <v>0.84</v>
      </c>
      <c r="F7">
        <v>0.84</v>
      </c>
      <c r="G7">
        <v>0.84</v>
      </c>
      <c r="H7">
        <v>0.84</v>
      </c>
      <c r="I7">
        <v>0.84</v>
      </c>
      <c r="J7">
        <v>0.84</v>
      </c>
      <c r="K7">
        <v>0.84</v>
      </c>
      <c r="L7">
        <v>0.84</v>
      </c>
      <c r="M7">
        <v>0.84</v>
      </c>
      <c r="N7" s="17" t="s">
        <v>43</v>
      </c>
      <c r="O7" t="s">
        <v>136</v>
      </c>
      <c r="R7" s="10">
        <f t="shared" si="9"/>
        <v>0.84</v>
      </c>
      <c r="S7" s="10">
        <f t="shared" si="0"/>
        <v>0.84</v>
      </c>
      <c r="T7" s="10">
        <f t="shared" si="1"/>
        <v>0.84</v>
      </c>
      <c r="U7" s="10">
        <f t="shared" si="2"/>
        <v>0.84</v>
      </c>
      <c r="V7" s="10">
        <f t="shared" si="3"/>
        <v>0.84</v>
      </c>
      <c r="W7" s="10">
        <f t="shared" si="4"/>
        <v>0.84</v>
      </c>
      <c r="X7" s="10">
        <f t="shared" si="5"/>
        <v>0.84</v>
      </c>
      <c r="Y7" s="10">
        <f t="shared" si="6"/>
        <v>0.84</v>
      </c>
      <c r="Z7" s="10">
        <f t="shared" si="7"/>
        <v>0.84</v>
      </c>
      <c r="AA7" s="1">
        <f t="shared" si="8"/>
        <v>0.84</v>
      </c>
      <c r="AB7" s="17" t="s">
        <v>43</v>
      </c>
      <c r="AC7" s="6" t="str">
        <f t="shared" si="10"/>
        <v>resid heatingrefined liquidsfuel furnace</v>
      </c>
    </row>
    <row r="8" spans="1:29" ht="14" customHeight="1" x14ac:dyDescent="0.2">
      <c r="A8" s="27" t="s">
        <v>70</v>
      </c>
      <c r="B8" s="17" t="s">
        <v>8</v>
      </c>
      <c r="C8" s="17" t="s">
        <v>20</v>
      </c>
      <c r="D8">
        <v>0.85</v>
      </c>
      <c r="E8">
        <v>0.85</v>
      </c>
      <c r="F8">
        <v>0.85</v>
      </c>
      <c r="G8">
        <v>0.85</v>
      </c>
      <c r="H8">
        <v>0.85</v>
      </c>
      <c r="I8">
        <v>0.85</v>
      </c>
      <c r="J8">
        <v>0.85</v>
      </c>
      <c r="K8">
        <v>0.85</v>
      </c>
      <c r="L8">
        <v>0.85</v>
      </c>
      <c r="M8">
        <v>0.85</v>
      </c>
      <c r="N8" s="17" t="s">
        <v>43</v>
      </c>
      <c r="O8" t="s">
        <v>136</v>
      </c>
      <c r="R8" s="10">
        <f t="shared" si="9"/>
        <v>0.85</v>
      </c>
      <c r="S8" s="10">
        <f t="shared" si="0"/>
        <v>0.85</v>
      </c>
      <c r="T8" s="10">
        <f t="shared" si="1"/>
        <v>0.85</v>
      </c>
      <c r="U8" s="10">
        <f t="shared" si="2"/>
        <v>0.85</v>
      </c>
      <c r="V8" s="10">
        <f t="shared" si="3"/>
        <v>0.85</v>
      </c>
      <c r="W8" s="10">
        <f t="shared" si="4"/>
        <v>0.85</v>
      </c>
      <c r="X8" s="10">
        <f t="shared" si="5"/>
        <v>0.85</v>
      </c>
      <c r="Y8" s="10">
        <f t="shared" si="6"/>
        <v>0.85</v>
      </c>
      <c r="Z8" s="10">
        <f t="shared" si="7"/>
        <v>0.85</v>
      </c>
      <c r="AA8" s="1">
        <f t="shared" si="8"/>
        <v>0.85</v>
      </c>
      <c r="AB8" s="17" t="s">
        <v>43</v>
      </c>
      <c r="AC8" s="6" t="str">
        <f t="shared" si="10"/>
        <v>resid heatingrefined liquidsfuel furnace hi-eff</v>
      </c>
    </row>
    <row r="9" spans="1:29" ht="14" customHeight="1" x14ac:dyDescent="0.2">
      <c r="A9" s="28" t="s">
        <v>71</v>
      </c>
      <c r="B9" s="18" t="s">
        <v>7</v>
      </c>
      <c r="C9" s="18" t="s">
        <v>9</v>
      </c>
      <c r="D9">
        <v>4.1625932641666399</v>
      </c>
      <c r="E9">
        <v>4.1625932641666399</v>
      </c>
      <c r="F9">
        <v>4.1625932641666399</v>
      </c>
      <c r="G9">
        <v>4.3446293977122004</v>
      </c>
      <c r="H9">
        <v>4.3446293977122004</v>
      </c>
      <c r="I9">
        <v>4.3446293977122004</v>
      </c>
      <c r="J9">
        <v>4.3446293977122004</v>
      </c>
      <c r="K9">
        <v>4.3446293977122004</v>
      </c>
      <c r="L9">
        <v>4.3446293977122004</v>
      </c>
      <c r="M9">
        <v>4.3446293977122004</v>
      </c>
      <c r="N9" s="18" t="s">
        <v>43</v>
      </c>
      <c r="O9" t="s">
        <v>137</v>
      </c>
      <c r="R9" s="11">
        <f t="shared" si="9"/>
        <v>4.1625932641666399</v>
      </c>
      <c r="S9" s="11">
        <f t="shared" si="0"/>
        <v>4.1625932641666399</v>
      </c>
      <c r="T9" s="11">
        <f t="shared" si="1"/>
        <v>4.1625932641666399</v>
      </c>
      <c r="U9" s="11">
        <f t="shared" si="2"/>
        <v>4.3446293977122004</v>
      </c>
      <c r="V9" s="11">
        <f t="shared" si="3"/>
        <v>4.3446293977122004</v>
      </c>
      <c r="W9" s="11">
        <f t="shared" si="4"/>
        <v>4.3446293977122004</v>
      </c>
      <c r="X9" s="11">
        <f t="shared" si="5"/>
        <v>4.3446293977122004</v>
      </c>
      <c r="Y9" s="11">
        <f t="shared" si="6"/>
        <v>4.3446293977122004</v>
      </c>
      <c r="Z9" s="11">
        <f t="shared" si="7"/>
        <v>4.3446293977122004</v>
      </c>
      <c r="AA9" s="4">
        <f t="shared" si="8"/>
        <v>4.3446293977122004</v>
      </c>
      <c r="AB9" s="18" t="s">
        <v>43</v>
      </c>
      <c r="AC9" s="6" t="str">
        <f t="shared" si="10"/>
        <v>resid coolingelectricityair conditioning</v>
      </c>
    </row>
    <row r="10" spans="1:29" ht="14" customHeight="1" x14ac:dyDescent="0.2">
      <c r="A10" s="28" t="s">
        <v>71</v>
      </c>
      <c r="B10" s="18" t="s">
        <v>7</v>
      </c>
      <c r="C10" s="18" t="s">
        <v>10</v>
      </c>
      <c r="D10">
        <v>4.6900000000000004</v>
      </c>
      <c r="E10">
        <v>4.6900000000000004</v>
      </c>
      <c r="F10">
        <v>4.6900000000000004</v>
      </c>
      <c r="G10">
        <v>4.8720361335455502</v>
      </c>
      <c r="H10">
        <v>4.8720361335455502</v>
      </c>
      <c r="I10">
        <v>4.8720361335455502</v>
      </c>
      <c r="J10">
        <v>4.8720361335455502</v>
      </c>
      <c r="K10">
        <v>4.8720361335455502</v>
      </c>
      <c r="L10">
        <v>4.8720361335455502</v>
      </c>
      <c r="M10">
        <v>4.8720361335455502</v>
      </c>
      <c r="N10" s="18" t="s">
        <v>43</v>
      </c>
      <c r="O10" t="s">
        <v>137</v>
      </c>
      <c r="R10" s="11">
        <f t="shared" si="9"/>
        <v>4.6900000000000004</v>
      </c>
      <c r="S10" s="11">
        <f t="shared" si="0"/>
        <v>4.6900000000000004</v>
      </c>
      <c r="T10" s="11">
        <f t="shared" si="1"/>
        <v>4.6900000000000004</v>
      </c>
      <c r="U10" s="11">
        <f t="shared" si="2"/>
        <v>4.8720361335455502</v>
      </c>
      <c r="V10" s="11">
        <f t="shared" si="3"/>
        <v>4.8720361335455502</v>
      </c>
      <c r="W10" s="11">
        <f t="shared" si="4"/>
        <v>4.8720361335455502</v>
      </c>
      <c r="X10" s="11">
        <f t="shared" si="5"/>
        <v>4.8720361335455502</v>
      </c>
      <c r="Y10" s="11">
        <f t="shared" si="6"/>
        <v>4.8720361335455502</v>
      </c>
      <c r="Z10" s="11">
        <f t="shared" si="7"/>
        <v>4.8720361335455502</v>
      </c>
      <c r="AA10" s="4">
        <f t="shared" si="8"/>
        <v>4.8720361335455502</v>
      </c>
      <c r="AB10" s="18" t="s">
        <v>43</v>
      </c>
      <c r="AC10" s="6" t="str">
        <f t="shared" si="10"/>
        <v>resid coolingelectricityair conditioning hi-eff</v>
      </c>
    </row>
    <row r="11" spans="1:29" ht="14" customHeight="1" x14ac:dyDescent="0.2">
      <c r="A11" s="29" t="s">
        <v>72</v>
      </c>
      <c r="B11" s="19" t="s">
        <v>31</v>
      </c>
      <c r="C11" s="19" t="s">
        <v>21</v>
      </c>
      <c r="D11">
        <v>0.63</v>
      </c>
      <c r="E11">
        <v>0.63</v>
      </c>
      <c r="F11">
        <v>0.63</v>
      </c>
      <c r="G11">
        <v>0.63</v>
      </c>
      <c r="H11">
        <v>0.63</v>
      </c>
      <c r="I11">
        <v>0.63</v>
      </c>
      <c r="J11">
        <v>0.63</v>
      </c>
      <c r="K11">
        <v>0.63</v>
      </c>
      <c r="L11">
        <v>0.63</v>
      </c>
      <c r="M11">
        <v>0.63</v>
      </c>
      <c r="N11" s="19" t="s">
        <v>35</v>
      </c>
      <c r="O11" t="s">
        <v>138</v>
      </c>
      <c r="R11" s="7">
        <f t="shared" si="9"/>
        <v>0.63</v>
      </c>
      <c r="S11" s="7">
        <f t="shared" si="0"/>
        <v>0.63</v>
      </c>
      <c r="T11" s="7">
        <f t="shared" si="1"/>
        <v>0.63</v>
      </c>
      <c r="U11" s="7">
        <f t="shared" si="2"/>
        <v>0.63</v>
      </c>
      <c r="V11" s="7">
        <f t="shared" si="3"/>
        <v>0.63</v>
      </c>
      <c r="W11" s="7">
        <f t="shared" si="4"/>
        <v>0.63</v>
      </c>
      <c r="X11" s="7">
        <f t="shared" si="5"/>
        <v>0.63</v>
      </c>
      <c r="Y11" s="7">
        <f t="shared" si="6"/>
        <v>0.63</v>
      </c>
      <c r="Z11" s="7">
        <f t="shared" si="7"/>
        <v>0.63</v>
      </c>
      <c r="AA11" s="5">
        <f t="shared" si="8"/>
        <v>0.63</v>
      </c>
      <c r="AB11" s="19" t="s">
        <v>43</v>
      </c>
      <c r="AC11" s="6" t="str">
        <f t="shared" si="10"/>
        <v>resid hot watergasgas water heater</v>
      </c>
    </row>
    <row r="12" spans="1:29" ht="14" customHeight="1" x14ac:dyDescent="0.2">
      <c r="A12" s="29" t="s">
        <v>72</v>
      </c>
      <c r="B12" s="19" t="s">
        <v>31</v>
      </c>
      <c r="C12" s="19" t="s">
        <v>22</v>
      </c>
      <c r="D12">
        <v>0.68</v>
      </c>
      <c r="E12">
        <v>0.68</v>
      </c>
      <c r="F12">
        <v>0.68</v>
      </c>
      <c r="G12">
        <v>0.68</v>
      </c>
      <c r="H12">
        <v>0.68</v>
      </c>
      <c r="I12">
        <v>0.68</v>
      </c>
      <c r="J12">
        <v>0.68</v>
      </c>
      <c r="K12">
        <v>0.68</v>
      </c>
      <c r="L12">
        <v>0.68</v>
      </c>
      <c r="M12">
        <v>0.68</v>
      </c>
      <c r="N12" s="19" t="s">
        <v>35</v>
      </c>
      <c r="O12" t="s">
        <v>138</v>
      </c>
      <c r="R12" s="7">
        <f t="shared" si="9"/>
        <v>0.68</v>
      </c>
      <c r="S12" s="7">
        <f t="shared" si="0"/>
        <v>0.68</v>
      </c>
      <c r="T12" s="7">
        <f t="shared" si="1"/>
        <v>0.68</v>
      </c>
      <c r="U12" s="7">
        <f t="shared" si="2"/>
        <v>0.68</v>
      </c>
      <c r="V12" s="7">
        <f t="shared" si="3"/>
        <v>0.68</v>
      </c>
      <c r="W12" s="7">
        <f t="shared" si="4"/>
        <v>0.68</v>
      </c>
      <c r="X12" s="7">
        <f t="shared" si="5"/>
        <v>0.68</v>
      </c>
      <c r="Y12" s="7">
        <f t="shared" si="6"/>
        <v>0.68</v>
      </c>
      <c r="Z12" s="7">
        <f t="shared" si="7"/>
        <v>0.68</v>
      </c>
      <c r="AA12" s="5">
        <f t="shared" si="8"/>
        <v>0.68</v>
      </c>
      <c r="AB12" s="19" t="s">
        <v>43</v>
      </c>
      <c r="AC12" s="6" t="str">
        <f t="shared" si="10"/>
        <v>resid hot watergasgas water heater hi-eff</v>
      </c>
    </row>
    <row r="13" spans="1:29" ht="14" customHeight="1" x14ac:dyDescent="0.2">
      <c r="A13" s="29" t="s">
        <v>72</v>
      </c>
      <c r="B13" s="19" t="s">
        <v>7</v>
      </c>
      <c r="C13" s="19" t="s">
        <v>23</v>
      </c>
      <c r="D13">
        <v>3.3</v>
      </c>
      <c r="E13">
        <v>3.3</v>
      </c>
      <c r="F13">
        <v>3.3</v>
      </c>
      <c r="G13">
        <v>3.3</v>
      </c>
      <c r="H13">
        <v>3.3</v>
      </c>
      <c r="I13">
        <v>3.3</v>
      </c>
      <c r="J13">
        <v>3.3</v>
      </c>
      <c r="K13">
        <v>3.3</v>
      </c>
      <c r="L13">
        <v>3.3</v>
      </c>
      <c r="M13">
        <v>3.3</v>
      </c>
      <c r="N13" s="19" t="s">
        <v>35</v>
      </c>
      <c r="O13" t="s">
        <v>138</v>
      </c>
      <c r="R13" s="7">
        <f t="shared" si="9"/>
        <v>3.3</v>
      </c>
      <c r="S13" s="7">
        <f t="shared" si="0"/>
        <v>3.3</v>
      </c>
      <c r="T13" s="7">
        <f t="shared" si="1"/>
        <v>3.3</v>
      </c>
      <c r="U13" s="7">
        <f t="shared" si="2"/>
        <v>3.3</v>
      </c>
      <c r="V13" s="7">
        <f t="shared" si="3"/>
        <v>3.3</v>
      </c>
      <c r="W13" s="7">
        <f t="shared" si="4"/>
        <v>3.3</v>
      </c>
      <c r="X13" s="7">
        <f t="shared" si="5"/>
        <v>3.3</v>
      </c>
      <c r="Y13" s="7">
        <f t="shared" si="6"/>
        <v>3.3</v>
      </c>
      <c r="Z13" s="7">
        <f t="shared" si="7"/>
        <v>3.3</v>
      </c>
      <c r="AA13" s="5">
        <f t="shared" si="8"/>
        <v>3.3</v>
      </c>
      <c r="AB13" s="19" t="s">
        <v>43</v>
      </c>
      <c r="AC13" s="6" t="str">
        <f t="shared" si="10"/>
        <v>resid hot waterelectricityelectric heat pump water heater</v>
      </c>
    </row>
    <row r="14" spans="1:29" ht="14" customHeight="1" x14ac:dyDescent="0.2">
      <c r="A14" s="29" t="s">
        <v>72</v>
      </c>
      <c r="B14" s="19" t="s">
        <v>7</v>
      </c>
      <c r="C14" s="19" t="s">
        <v>24</v>
      </c>
      <c r="D14">
        <v>0.93</v>
      </c>
      <c r="E14">
        <v>0.93</v>
      </c>
      <c r="F14">
        <v>0.93</v>
      </c>
      <c r="G14">
        <v>0.93</v>
      </c>
      <c r="H14">
        <v>0.93</v>
      </c>
      <c r="I14">
        <v>0.93</v>
      </c>
      <c r="J14">
        <v>0.93</v>
      </c>
      <c r="K14">
        <v>0.93</v>
      </c>
      <c r="L14">
        <v>0.93</v>
      </c>
      <c r="M14">
        <v>0.93</v>
      </c>
      <c r="N14" s="19" t="s">
        <v>35</v>
      </c>
      <c r="O14" t="s">
        <v>138</v>
      </c>
      <c r="R14" s="7">
        <f t="shared" si="9"/>
        <v>0.93</v>
      </c>
      <c r="S14" s="7">
        <f t="shared" si="0"/>
        <v>0.93</v>
      </c>
      <c r="T14" s="7">
        <f t="shared" si="1"/>
        <v>0.93</v>
      </c>
      <c r="U14" s="7">
        <f t="shared" si="2"/>
        <v>0.93</v>
      </c>
      <c r="V14" s="7">
        <f t="shared" si="3"/>
        <v>0.93</v>
      </c>
      <c r="W14" s="7">
        <f t="shared" si="4"/>
        <v>0.93</v>
      </c>
      <c r="X14" s="7">
        <f t="shared" si="5"/>
        <v>0.93</v>
      </c>
      <c r="Y14" s="7">
        <f t="shared" si="6"/>
        <v>0.93</v>
      </c>
      <c r="Z14" s="7">
        <f t="shared" si="7"/>
        <v>0.93</v>
      </c>
      <c r="AA14" s="5">
        <f t="shared" si="8"/>
        <v>0.93</v>
      </c>
      <c r="AB14" s="19" t="s">
        <v>43</v>
      </c>
      <c r="AC14" s="6" t="str">
        <f t="shared" si="10"/>
        <v>resid hot waterelectricityelectric resistance water heater</v>
      </c>
    </row>
    <row r="15" spans="1:29" ht="14" customHeight="1" x14ac:dyDescent="0.2">
      <c r="A15" s="29" t="s">
        <v>72</v>
      </c>
      <c r="B15" s="19" t="s">
        <v>7</v>
      </c>
      <c r="C15" s="19" t="s">
        <v>25</v>
      </c>
      <c r="D15">
        <v>3.3</v>
      </c>
      <c r="E15">
        <v>3.3</v>
      </c>
      <c r="F15">
        <v>3.3</v>
      </c>
      <c r="G15">
        <v>3.3</v>
      </c>
      <c r="H15">
        <v>3.3</v>
      </c>
      <c r="I15">
        <v>3.3</v>
      </c>
      <c r="J15">
        <v>3.3</v>
      </c>
      <c r="K15">
        <v>3.3</v>
      </c>
      <c r="L15">
        <v>3.3</v>
      </c>
      <c r="M15">
        <v>3.3</v>
      </c>
      <c r="N15" s="19" t="s">
        <v>35</v>
      </c>
      <c r="O15" t="s">
        <v>138</v>
      </c>
      <c r="R15" s="7">
        <f t="shared" si="9"/>
        <v>3.3</v>
      </c>
      <c r="S15" s="7">
        <f t="shared" si="0"/>
        <v>3.3</v>
      </c>
      <c r="T15" s="7">
        <f t="shared" si="1"/>
        <v>3.3</v>
      </c>
      <c r="U15" s="7">
        <f t="shared" si="2"/>
        <v>3.3</v>
      </c>
      <c r="V15" s="7">
        <f t="shared" si="3"/>
        <v>3.3</v>
      </c>
      <c r="W15" s="7">
        <f t="shared" si="4"/>
        <v>3.3</v>
      </c>
      <c r="X15" s="7">
        <f t="shared" si="5"/>
        <v>3.3</v>
      </c>
      <c r="Y15" s="7">
        <f t="shared" si="6"/>
        <v>3.3</v>
      </c>
      <c r="Z15" s="7">
        <f t="shared" si="7"/>
        <v>3.3</v>
      </c>
      <c r="AA15" s="5">
        <f t="shared" si="8"/>
        <v>3.3</v>
      </c>
      <c r="AB15" s="19" t="s">
        <v>43</v>
      </c>
      <c r="AC15" s="6" t="str">
        <f t="shared" si="10"/>
        <v>resid hot waterelectricityelectric resistance water heater hi-eff</v>
      </c>
    </row>
    <row r="16" spans="1:29" ht="14" customHeight="1" x14ac:dyDescent="0.2">
      <c r="A16" s="29" t="s">
        <v>72</v>
      </c>
      <c r="B16" s="19" t="s">
        <v>8</v>
      </c>
      <c r="C16" s="19" t="s">
        <v>26</v>
      </c>
      <c r="D16">
        <v>0.63</v>
      </c>
      <c r="E16">
        <v>0.63</v>
      </c>
      <c r="F16">
        <v>0.63</v>
      </c>
      <c r="G16">
        <v>0.63</v>
      </c>
      <c r="H16">
        <v>0.63</v>
      </c>
      <c r="I16">
        <v>0.63</v>
      </c>
      <c r="J16">
        <v>0.63</v>
      </c>
      <c r="K16">
        <v>0.63</v>
      </c>
      <c r="L16">
        <v>0.63</v>
      </c>
      <c r="M16">
        <v>0.63</v>
      </c>
      <c r="N16" s="19" t="s">
        <v>35</v>
      </c>
      <c r="O16" t="s">
        <v>138</v>
      </c>
      <c r="R16" s="7">
        <f t="shared" si="9"/>
        <v>0.63</v>
      </c>
      <c r="S16" s="7">
        <f t="shared" si="0"/>
        <v>0.63</v>
      </c>
      <c r="T16" s="7">
        <f t="shared" si="1"/>
        <v>0.63</v>
      </c>
      <c r="U16" s="7">
        <f t="shared" si="2"/>
        <v>0.63</v>
      </c>
      <c r="V16" s="7">
        <f t="shared" si="3"/>
        <v>0.63</v>
      </c>
      <c r="W16" s="7">
        <f t="shared" si="4"/>
        <v>0.63</v>
      </c>
      <c r="X16" s="7">
        <f t="shared" si="5"/>
        <v>0.63</v>
      </c>
      <c r="Y16" s="7">
        <f t="shared" si="6"/>
        <v>0.63</v>
      </c>
      <c r="Z16" s="7">
        <f t="shared" si="7"/>
        <v>0.63</v>
      </c>
      <c r="AA16" s="5">
        <f t="shared" si="8"/>
        <v>0.63</v>
      </c>
      <c r="AB16" s="19" t="s">
        <v>43</v>
      </c>
      <c r="AC16" s="6" t="str">
        <f t="shared" si="10"/>
        <v>resid hot waterrefined liquidsfuel water heater</v>
      </c>
    </row>
    <row r="17" spans="1:29" ht="14" customHeight="1" x14ac:dyDescent="0.2">
      <c r="A17" s="29" t="s">
        <v>72</v>
      </c>
      <c r="B17" s="19" t="s">
        <v>8</v>
      </c>
      <c r="C17" s="19" t="s">
        <v>27</v>
      </c>
      <c r="D17">
        <v>0.63</v>
      </c>
      <c r="E17">
        <v>0.63</v>
      </c>
      <c r="F17">
        <v>0.63</v>
      </c>
      <c r="G17">
        <v>0.63</v>
      </c>
      <c r="H17">
        <v>0.63</v>
      </c>
      <c r="I17">
        <v>0.63</v>
      </c>
      <c r="J17">
        <v>0.63</v>
      </c>
      <c r="K17">
        <v>0.63</v>
      </c>
      <c r="L17">
        <v>0.63</v>
      </c>
      <c r="M17">
        <v>0.63</v>
      </c>
      <c r="N17" s="19" t="s">
        <v>35</v>
      </c>
      <c r="O17" t="s">
        <v>138</v>
      </c>
      <c r="R17" s="7">
        <f t="shared" si="9"/>
        <v>0.63</v>
      </c>
      <c r="S17" s="7">
        <f t="shared" si="0"/>
        <v>0.63</v>
      </c>
      <c r="T17" s="7">
        <f t="shared" si="1"/>
        <v>0.63</v>
      </c>
      <c r="U17" s="7">
        <f t="shared" si="2"/>
        <v>0.63</v>
      </c>
      <c r="V17" s="7">
        <f t="shared" si="3"/>
        <v>0.63</v>
      </c>
      <c r="W17" s="7">
        <f t="shared" si="4"/>
        <v>0.63</v>
      </c>
      <c r="X17" s="7">
        <f t="shared" si="5"/>
        <v>0.63</v>
      </c>
      <c r="Y17" s="7">
        <f t="shared" si="6"/>
        <v>0.63</v>
      </c>
      <c r="Z17" s="7">
        <f t="shared" si="7"/>
        <v>0.63</v>
      </c>
      <c r="AA17" s="5">
        <f t="shared" si="8"/>
        <v>0.63</v>
      </c>
      <c r="AB17" s="19" t="s">
        <v>43</v>
      </c>
      <c r="AC17" s="6" t="str">
        <f t="shared" si="10"/>
        <v>resid hot waterrefined liquidsfuel water heater hi-eff</v>
      </c>
    </row>
    <row r="18" spans="1:29" ht="14" customHeight="1" x14ac:dyDescent="0.2">
      <c r="A18" s="30" t="s">
        <v>79</v>
      </c>
      <c r="B18" s="20" t="s">
        <v>7</v>
      </c>
      <c r="C18" s="20" t="s">
        <v>32</v>
      </c>
      <c r="D18">
        <v>513.33333333333303</v>
      </c>
      <c r="E18">
        <v>513.33333333333303</v>
      </c>
      <c r="F18">
        <v>513.33333333333303</v>
      </c>
      <c r="G18">
        <v>513.33333333333303</v>
      </c>
      <c r="H18">
        <v>513.33333333333303</v>
      </c>
      <c r="I18">
        <v>513.33333333333303</v>
      </c>
      <c r="J18">
        <v>513.33333333333303</v>
      </c>
      <c r="K18">
        <v>513.33333333333303</v>
      </c>
      <c r="L18">
        <v>513.33333333333303</v>
      </c>
      <c r="M18">
        <v>513.33333333333303</v>
      </c>
      <c r="N18" s="20" t="s">
        <v>36</v>
      </c>
      <c r="O18" t="s">
        <v>139</v>
      </c>
      <c r="P18">
        <v>2</v>
      </c>
      <c r="Q18" s="13" t="s">
        <v>100</v>
      </c>
      <c r="R18" s="52">
        <f>$D$18/D18*$P$18</f>
        <v>2</v>
      </c>
      <c r="S18" s="52">
        <f t="shared" ref="S18:S19" si="11">$D$18/E18*$P$18</f>
        <v>2</v>
      </c>
      <c r="T18" s="52">
        <f t="shared" ref="T18:T19" si="12">$D$18/F18*$P$18</f>
        <v>2</v>
      </c>
      <c r="U18" s="52">
        <f t="shared" ref="U18:U19" si="13">$D$18/G18*$P$18</f>
        <v>2</v>
      </c>
      <c r="V18" s="52">
        <f t="shared" ref="V18:V19" si="14">$D$18/H18*$P$18</f>
        <v>2</v>
      </c>
      <c r="W18" s="52">
        <f t="shared" ref="W18:W19" si="15">$D$18/I18*$P$18</f>
        <v>2</v>
      </c>
      <c r="X18" s="52">
        <f t="shared" ref="X18:X19" si="16">$D$18/J18*$P$18</f>
        <v>2</v>
      </c>
      <c r="Y18" s="52">
        <f t="shared" ref="Y18:Y19" si="17">$D$18/K18*$P$18</f>
        <v>2</v>
      </c>
      <c r="Z18" s="52">
        <f t="shared" ref="Z18:Z19" si="18">$D$18/L18*$P$18</f>
        <v>2</v>
      </c>
      <c r="AA18" s="53">
        <f t="shared" ref="AA18:AA19" si="19">$D$18/M18*$P$18</f>
        <v>2</v>
      </c>
      <c r="AB18" s="20" t="s">
        <v>43</v>
      </c>
      <c r="AC18" s="6" t="str">
        <f t="shared" si="10"/>
        <v>resid refrigeratorselectricityrefrigerator</v>
      </c>
    </row>
    <row r="19" spans="1:29" ht="14" customHeight="1" x14ac:dyDescent="0.2">
      <c r="A19" s="30" t="s">
        <v>79</v>
      </c>
      <c r="B19" s="20" t="s">
        <v>7</v>
      </c>
      <c r="C19" s="20" t="s">
        <v>33</v>
      </c>
      <c r="D19">
        <v>489</v>
      </c>
      <c r="E19">
        <v>489</v>
      </c>
      <c r="F19">
        <v>489</v>
      </c>
      <c r="G19">
        <v>489</v>
      </c>
      <c r="H19">
        <v>489</v>
      </c>
      <c r="I19">
        <v>489</v>
      </c>
      <c r="J19">
        <v>489</v>
      </c>
      <c r="K19">
        <v>489</v>
      </c>
      <c r="L19">
        <v>489</v>
      </c>
      <c r="M19">
        <v>489</v>
      </c>
      <c r="N19" s="20" t="s">
        <v>36</v>
      </c>
      <c r="O19" t="s">
        <v>139</v>
      </c>
      <c r="R19" s="52">
        <f t="shared" ref="R19" si="20">$D$18/D19*$P$18</f>
        <v>2.0995228357191533</v>
      </c>
      <c r="S19" s="52">
        <f t="shared" si="11"/>
        <v>2.0995228357191533</v>
      </c>
      <c r="T19" s="52">
        <f t="shared" si="12"/>
        <v>2.0995228357191533</v>
      </c>
      <c r="U19" s="52">
        <f t="shared" si="13"/>
        <v>2.0995228357191533</v>
      </c>
      <c r="V19" s="52">
        <f t="shared" si="14"/>
        <v>2.0995228357191533</v>
      </c>
      <c r="W19" s="52">
        <f t="shared" si="15"/>
        <v>2.0995228357191533</v>
      </c>
      <c r="X19" s="52">
        <f t="shared" si="16"/>
        <v>2.0995228357191533</v>
      </c>
      <c r="Y19" s="52">
        <f t="shared" si="17"/>
        <v>2.0995228357191533</v>
      </c>
      <c r="Z19" s="52">
        <f t="shared" si="18"/>
        <v>2.0995228357191533</v>
      </c>
      <c r="AA19" s="53">
        <f t="shared" si="19"/>
        <v>2.0995228357191533</v>
      </c>
      <c r="AB19" s="20" t="s">
        <v>43</v>
      </c>
      <c r="AC19" s="6" t="str">
        <f t="shared" si="10"/>
        <v>resid refrigeratorselectricityrefrigerator hi-eff</v>
      </c>
    </row>
    <row r="20" spans="1:29" s="13" customFormat="1" ht="14" customHeight="1" x14ac:dyDescent="0.2">
      <c r="A20" s="44" t="s">
        <v>78</v>
      </c>
      <c r="B20" s="21" t="s">
        <v>31</v>
      </c>
      <c r="C20" s="21" t="s">
        <v>110</v>
      </c>
      <c r="D20">
        <v>0.45</v>
      </c>
      <c r="E20">
        <v>0.45</v>
      </c>
      <c r="F20">
        <v>0.45</v>
      </c>
      <c r="G20">
        <v>0.45</v>
      </c>
      <c r="H20">
        <v>0.45</v>
      </c>
      <c r="I20">
        <v>0.45</v>
      </c>
      <c r="J20">
        <v>0.45</v>
      </c>
      <c r="K20">
        <v>0.45</v>
      </c>
      <c r="L20">
        <v>0.45</v>
      </c>
      <c r="M20">
        <v>0.45</v>
      </c>
      <c r="N20" s="21" t="s">
        <v>43</v>
      </c>
      <c r="O20" t="s">
        <v>140</v>
      </c>
      <c r="R20" s="14">
        <f t="shared" ref="R20:R21" si="21">D20</f>
        <v>0.45</v>
      </c>
      <c r="S20" s="14">
        <f t="shared" ref="S20:S21" si="22">E20</f>
        <v>0.45</v>
      </c>
      <c r="T20" s="14">
        <f t="shared" ref="T20:T21" si="23">F20</f>
        <v>0.45</v>
      </c>
      <c r="U20" s="14">
        <f t="shared" ref="U20:U21" si="24">G20</f>
        <v>0.45</v>
      </c>
      <c r="V20" s="14">
        <f t="shared" ref="V20:V21" si="25">H20</f>
        <v>0.45</v>
      </c>
      <c r="W20" s="14">
        <f t="shared" ref="W20:W21" si="26">I20</f>
        <v>0.45</v>
      </c>
      <c r="X20" s="14">
        <f t="shared" ref="X20:X21" si="27">J20</f>
        <v>0.45</v>
      </c>
      <c r="Y20" s="14">
        <f t="shared" ref="Y20:Y21" si="28">K20</f>
        <v>0.45</v>
      </c>
      <c r="Z20" s="14">
        <f t="shared" ref="Z20:Z21" si="29">L20</f>
        <v>0.45</v>
      </c>
      <c r="AA20" s="3">
        <f t="shared" ref="AA20:AA21" si="30">M20</f>
        <v>0.45</v>
      </c>
      <c r="AB20" s="21" t="s">
        <v>43</v>
      </c>
      <c r="AC20" s="6" t="str">
        <f t="shared" si="10"/>
        <v>resid cookinggasgas oven</v>
      </c>
    </row>
    <row r="21" spans="1:29" s="13" customFormat="1" ht="14" customHeight="1" x14ac:dyDescent="0.2">
      <c r="A21" s="44" t="s">
        <v>78</v>
      </c>
      <c r="B21" s="21" t="s">
        <v>31</v>
      </c>
      <c r="C21" s="21" t="s">
        <v>111</v>
      </c>
      <c r="D21">
        <v>0.45</v>
      </c>
      <c r="E21">
        <v>0.45</v>
      </c>
      <c r="F21">
        <v>0.45</v>
      </c>
      <c r="G21">
        <v>0.45</v>
      </c>
      <c r="H21">
        <v>0.45</v>
      </c>
      <c r="I21">
        <v>0.45</v>
      </c>
      <c r="J21">
        <v>0.45</v>
      </c>
      <c r="K21">
        <v>0.45</v>
      </c>
      <c r="L21">
        <v>0.45</v>
      </c>
      <c r="M21">
        <v>0.45</v>
      </c>
      <c r="N21" s="21" t="s">
        <v>43</v>
      </c>
      <c r="O21" t="s">
        <v>140</v>
      </c>
      <c r="R21" s="14">
        <f t="shared" si="21"/>
        <v>0.45</v>
      </c>
      <c r="S21" s="14">
        <f t="shared" si="22"/>
        <v>0.45</v>
      </c>
      <c r="T21" s="14">
        <f t="shared" si="23"/>
        <v>0.45</v>
      </c>
      <c r="U21" s="14">
        <f t="shared" si="24"/>
        <v>0.45</v>
      </c>
      <c r="V21" s="14">
        <f t="shared" si="25"/>
        <v>0.45</v>
      </c>
      <c r="W21" s="14">
        <f t="shared" si="26"/>
        <v>0.45</v>
      </c>
      <c r="X21" s="14">
        <f t="shared" si="27"/>
        <v>0.45</v>
      </c>
      <c r="Y21" s="14">
        <f t="shared" si="28"/>
        <v>0.45</v>
      </c>
      <c r="Z21" s="14">
        <f t="shared" si="29"/>
        <v>0.45</v>
      </c>
      <c r="AA21" s="3">
        <f t="shared" si="30"/>
        <v>0.45</v>
      </c>
      <c r="AB21" s="21" t="s">
        <v>43</v>
      </c>
      <c r="AC21" s="6" t="str">
        <f t="shared" si="10"/>
        <v>resid cookinggasgas oven hi-eff</v>
      </c>
    </row>
    <row r="22" spans="1:29" s="13" customFormat="1" ht="14" customHeight="1" x14ac:dyDescent="0.2">
      <c r="A22" s="44" t="s">
        <v>78</v>
      </c>
      <c r="B22" s="45" t="s">
        <v>7</v>
      </c>
      <c r="C22" s="45" t="s">
        <v>112</v>
      </c>
      <c r="D22">
        <v>228.09136079999999</v>
      </c>
      <c r="E22">
        <v>228.09136079999999</v>
      </c>
      <c r="F22">
        <v>228.09136079999999</v>
      </c>
      <c r="G22">
        <v>228.09136079999999</v>
      </c>
      <c r="H22">
        <v>228.09136079999999</v>
      </c>
      <c r="I22">
        <v>228.09136079999999</v>
      </c>
      <c r="J22">
        <v>228.09136079999999</v>
      </c>
      <c r="K22">
        <v>228.09136079999999</v>
      </c>
      <c r="L22">
        <v>228.09136079999999</v>
      </c>
      <c r="M22">
        <v>228.09136079999999</v>
      </c>
      <c r="N22" s="45" t="s">
        <v>36</v>
      </c>
      <c r="O22" t="s">
        <v>139</v>
      </c>
      <c r="P22" s="13">
        <f>D20*comm_eff!D20/comm_eff!D18</f>
        <v>0.97140912589961592</v>
      </c>
      <c r="Q22" s="13" t="s">
        <v>100</v>
      </c>
      <c r="R22" s="54">
        <f t="shared" ref="R22:X22" si="31">$D$22/D22*$P$22</f>
        <v>0.97140912589961592</v>
      </c>
      <c r="S22" s="54">
        <f t="shared" si="31"/>
        <v>0.97140912589961592</v>
      </c>
      <c r="T22" s="54">
        <f t="shared" si="31"/>
        <v>0.97140912589961592</v>
      </c>
      <c r="U22" s="54">
        <f t="shared" si="31"/>
        <v>0.97140912589961592</v>
      </c>
      <c r="V22" s="54">
        <f t="shared" si="31"/>
        <v>0.97140912589961592</v>
      </c>
      <c r="W22" s="54">
        <f t="shared" si="31"/>
        <v>0.97140912589961592</v>
      </c>
      <c r="X22" s="54">
        <f t="shared" si="31"/>
        <v>0.97140912589961592</v>
      </c>
      <c r="Y22" s="54">
        <f t="shared" ref="Y22" si="32">$D$22/K22*$P$22</f>
        <v>0.97140912589961592</v>
      </c>
      <c r="Z22" s="54">
        <f t="shared" ref="Z22" si="33">$D$22/L22*$P$22</f>
        <v>0.97140912589961592</v>
      </c>
      <c r="AA22" s="55">
        <f>$D$22/M22*$P$22</f>
        <v>0.97140912589961592</v>
      </c>
      <c r="AB22" s="45" t="s">
        <v>43</v>
      </c>
      <c r="AC22" s="6" t="str">
        <f t="shared" si="10"/>
        <v>resid cookingelectricityelectric oven</v>
      </c>
    </row>
    <row r="23" spans="1:29" s="13" customFormat="1" ht="14" customHeight="1" x14ac:dyDescent="0.2">
      <c r="A23" s="32" t="s">
        <v>77</v>
      </c>
      <c r="B23" s="22" t="s">
        <v>31</v>
      </c>
      <c r="C23" s="22" t="s">
        <v>3</v>
      </c>
      <c r="D23">
        <v>3.32</v>
      </c>
      <c r="E23">
        <v>3.32</v>
      </c>
      <c r="F23">
        <v>3.32</v>
      </c>
      <c r="G23">
        <v>3.32</v>
      </c>
      <c r="H23">
        <v>3.32</v>
      </c>
      <c r="I23">
        <v>3.32</v>
      </c>
      <c r="J23">
        <v>3.32</v>
      </c>
      <c r="K23">
        <v>3.32</v>
      </c>
      <c r="L23">
        <v>3.32</v>
      </c>
      <c r="M23">
        <v>3.32</v>
      </c>
      <c r="N23" s="22" t="s">
        <v>67</v>
      </c>
      <c r="O23" t="s">
        <v>141</v>
      </c>
      <c r="R23" s="56">
        <f>D23*0.454/0.0036</f>
        <v>418.68888888888887</v>
      </c>
      <c r="S23" s="56">
        <f t="shared" ref="S23:S26" si="34">E23*0.454/0.0036</f>
        <v>418.68888888888887</v>
      </c>
      <c r="T23" s="56">
        <f t="shared" ref="T23:T26" si="35">F23*0.454/0.0036</f>
        <v>418.68888888888887</v>
      </c>
      <c r="U23" s="56">
        <f t="shared" ref="U23:U26" si="36">G23*0.454/0.0036</f>
        <v>418.68888888888887</v>
      </c>
      <c r="V23" s="56">
        <f t="shared" ref="V23:V26" si="37">H23*0.454/0.0036</f>
        <v>418.68888888888887</v>
      </c>
      <c r="W23" s="56">
        <f t="shared" ref="W23:W26" si="38">I23*0.454/0.0036</f>
        <v>418.68888888888887</v>
      </c>
      <c r="X23" s="56">
        <f t="shared" ref="X23:X26" si="39">J23*0.454/0.0036</f>
        <v>418.68888888888887</v>
      </c>
      <c r="Y23" s="56">
        <f t="shared" ref="Y23:Y26" si="40">K23*0.454/0.0036</f>
        <v>418.68888888888887</v>
      </c>
      <c r="Z23" s="56">
        <f t="shared" ref="Z23:Z26" si="41">L23*0.454/0.0036</f>
        <v>418.68888888888887</v>
      </c>
      <c r="AA23" s="57">
        <f t="shared" ref="AA23:AA26" si="42">M23*0.454/0.0036</f>
        <v>418.68888888888887</v>
      </c>
      <c r="AB23" s="22" t="s">
        <v>101</v>
      </c>
      <c r="AC23" s="6" t="str">
        <f t="shared" si="10"/>
        <v>resid clothes dryersgasclothes dryer</v>
      </c>
    </row>
    <row r="24" spans="1:29" s="13" customFormat="1" ht="14" customHeight="1" x14ac:dyDescent="0.2">
      <c r="A24" s="32" t="s">
        <v>77</v>
      </c>
      <c r="B24" s="22" t="s">
        <v>31</v>
      </c>
      <c r="C24" s="22" t="s">
        <v>3</v>
      </c>
      <c r="D24">
        <v>3.32</v>
      </c>
      <c r="E24">
        <v>3.32</v>
      </c>
      <c r="F24">
        <v>3.32</v>
      </c>
      <c r="G24">
        <v>3.32</v>
      </c>
      <c r="H24">
        <v>3.32</v>
      </c>
      <c r="I24">
        <v>3.32</v>
      </c>
      <c r="J24">
        <v>3.32</v>
      </c>
      <c r="K24">
        <v>3.32</v>
      </c>
      <c r="L24">
        <v>3.32</v>
      </c>
      <c r="M24">
        <v>3.32</v>
      </c>
      <c r="N24" s="22" t="s">
        <v>67</v>
      </c>
      <c r="O24" t="s">
        <v>141</v>
      </c>
      <c r="R24" s="56">
        <f t="shared" ref="R24:R26" si="43">D24*0.454/0.0036</f>
        <v>418.68888888888887</v>
      </c>
      <c r="S24" s="56">
        <f t="shared" si="34"/>
        <v>418.68888888888887</v>
      </c>
      <c r="T24" s="56">
        <f t="shared" si="35"/>
        <v>418.68888888888887</v>
      </c>
      <c r="U24" s="56">
        <f t="shared" si="36"/>
        <v>418.68888888888887</v>
      </c>
      <c r="V24" s="56">
        <f t="shared" si="37"/>
        <v>418.68888888888887</v>
      </c>
      <c r="W24" s="56">
        <f t="shared" si="38"/>
        <v>418.68888888888887</v>
      </c>
      <c r="X24" s="56">
        <f t="shared" si="39"/>
        <v>418.68888888888887</v>
      </c>
      <c r="Y24" s="56">
        <f t="shared" si="40"/>
        <v>418.68888888888887</v>
      </c>
      <c r="Z24" s="56">
        <f t="shared" si="41"/>
        <v>418.68888888888887</v>
      </c>
      <c r="AA24" s="57">
        <f t="shared" si="42"/>
        <v>418.68888888888887</v>
      </c>
      <c r="AB24" s="22" t="s">
        <v>101</v>
      </c>
      <c r="AC24" s="6" t="str">
        <f t="shared" si="10"/>
        <v>resid clothes dryersgasclothes dryer</v>
      </c>
    </row>
    <row r="25" spans="1:29" s="13" customFormat="1" ht="14" customHeight="1" x14ac:dyDescent="0.2">
      <c r="A25" s="32" t="s">
        <v>77</v>
      </c>
      <c r="B25" s="22" t="s">
        <v>7</v>
      </c>
      <c r="C25" s="22" t="s">
        <v>3</v>
      </c>
      <c r="D25">
        <v>3.74</v>
      </c>
      <c r="E25">
        <v>3.74</v>
      </c>
      <c r="F25">
        <v>3.74</v>
      </c>
      <c r="G25">
        <v>3.74</v>
      </c>
      <c r="H25">
        <v>3.74</v>
      </c>
      <c r="I25">
        <v>3.74</v>
      </c>
      <c r="J25">
        <v>3.74</v>
      </c>
      <c r="K25">
        <v>3.74</v>
      </c>
      <c r="L25">
        <v>3.74</v>
      </c>
      <c r="M25">
        <v>3.74</v>
      </c>
      <c r="N25" s="22" t="s">
        <v>67</v>
      </c>
      <c r="O25" t="s">
        <v>141</v>
      </c>
      <c r="P25" s="13">
        <v>600</v>
      </c>
      <c r="Q25" s="13" t="s">
        <v>92</v>
      </c>
      <c r="R25" s="56">
        <f t="shared" si="43"/>
        <v>471.65555555555562</v>
      </c>
      <c r="S25" s="56">
        <f t="shared" si="34"/>
        <v>471.65555555555562</v>
      </c>
      <c r="T25" s="56">
        <f t="shared" si="35"/>
        <v>471.65555555555562</v>
      </c>
      <c r="U25" s="56">
        <f t="shared" si="36"/>
        <v>471.65555555555562</v>
      </c>
      <c r="V25" s="56">
        <f t="shared" si="37"/>
        <v>471.65555555555562</v>
      </c>
      <c r="W25" s="56">
        <f t="shared" si="38"/>
        <v>471.65555555555562</v>
      </c>
      <c r="X25" s="56">
        <f t="shared" si="39"/>
        <v>471.65555555555562</v>
      </c>
      <c r="Y25" s="56">
        <f t="shared" si="40"/>
        <v>471.65555555555562</v>
      </c>
      <c r="Z25" s="56">
        <f t="shared" si="41"/>
        <v>471.65555555555562</v>
      </c>
      <c r="AA25" s="57">
        <f t="shared" si="42"/>
        <v>471.65555555555562</v>
      </c>
      <c r="AB25" s="22" t="s">
        <v>101</v>
      </c>
      <c r="AC25" s="6" t="str">
        <f t="shared" si="10"/>
        <v>resid clothes dryerselectricityclothes dryer</v>
      </c>
    </row>
    <row r="26" spans="1:29" s="13" customFormat="1" ht="14" customHeight="1" x14ac:dyDescent="0.2">
      <c r="A26" s="32" t="s">
        <v>77</v>
      </c>
      <c r="B26" s="22" t="s">
        <v>7</v>
      </c>
      <c r="C26" s="22" t="s">
        <v>4</v>
      </c>
      <c r="D26">
        <v>3.93</v>
      </c>
      <c r="E26">
        <v>3.93</v>
      </c>
      <c r="F26">
        <v>3.93</v>
      </c>
      <c r="G26">
        <v>3.93</v>
      </c>
      <c r="H26">
        <v>3.93</v>
      </c>
      <c r="I26">
        <v>3.93</v>
      </c>
      <c r="J26">
        <v>3.93</v>
      </c>
      <c r="K26">
        <v>3.93</v>
      </c>
      <c r="L26">
        <v>3.93</v>
      </c>
      <c r="M26">
        <v>3.93</v>
      </c>
      <c r="N26" s="22" t="s">
        <v>67</v>
      </c>
      <c r="O26" t="s">
        <v>141</v>
      </c>
      <c r="R26" s="56">
        <f t="shared" si="43"/>
        <v>495.61666666666673</v>
      </c>
      <c r="S26" s="56">
        <f t="shared" si="34"/>
        <v>495.61666666666673</v>
      </c>
      <c r="T26" s="56">
        <f t="shared" si="35"/>
        <v>495.61666666666673</v>
      </c>
      <c r="U26" s="56">
        <f t="shared" si="36"/>
        <v>495.61666666666673</v>
      </c>
      <c r="V26" s="56">
        <f t="shared" si="37"/>
        <v>495.61666666666673</v>
      </c>
      <c r="W26" s="56">
        <f t="shared" si="38"/>
        <v>495.61666666666673</v>
      </c>
      <c r="X26" s="56">
        <f t="shared" si="39"/>
        <v>495.61666666666673</v>
      </c>
      <c r="Y26" s="56">
        <f t="shared" si="40"/>
        <v>495.61666666666673</v>
      </c>
      <c r="Z26" s="56">
        <f t="shared" si="41"/>
        <v>495.61666666666673</v>
      </c>
      <c r="AA26" s="57">
        <f t="shared" si="42"/>
        <v>495.61666666666673</v>
      </c>
      <c r="AB26" s="22" t="s">
        <v>101</v>
      </c>
      <c r="AC26" s="6" t="str">
        <f t="shared" si="10"/>
        <v>resid clothes dryerselectricityclothes dryer hi-eff</v>
      </c>
    </row>
    <row r="27" spans="1:29" s="13" customFormat="1" ht="14" customHeight="1" x14ac:dyDescent="0.2">
      <c r="A27" s="27" t="s">
        <v>76</v>
      </c>
      <c r="B27" s="17" t="s">
        <v>7</v>
      </c>
      <c r="C27" s="17" t="s">
        <v>13</v>
      </c>
      <c r="D27">
        <v>371.5</v>
      </c>
      <c r="E27">
        <v>371.5</v>
      </c>
      <c r="F27">
        <v>371.5</v>
      </c>
      <c r="G27">
        <v>371.5</v>
      </c>
      <c r="H27">
        <v>371.5</v>
      </c>
      <c r="I27">
        <v>371.5</v>
      </c>
      <c r="J27">
        <v>371.5</v>
      </c>
      <c r="K27">
        <v>371.5</v>
      </c>
      <c r="L27">
        <v>371.5</v>
      </c>
      <c r="M27">
        <v>371.5</v>
      </c>
      <c r="N27" s="17" t="s">
        <v>36</v>
      </c>
      <c r="O27" t="s">
        <v>139</v>
      </c>
      <c r="P27" s="13">
        <v>1</v>
      </c>
      <c r="Q27" s="13" t="s">
        <v>100</v>
      </c>
      <c r="R27" s="46">
        <f>$D$27/D27*$P$27</f>
        <v>1</v>
      </c>
      <c r="S27" s="46">
        <f t="shared" ref="S27:S28" si="44">$D$27/E27*$P$27</f>
        <v>1</v>
      </c>
      <c r="T27" s="46">
        <f t="shared" ref="T27:T28" si="45">$D$27/F27*$P$27</f>
        <v>1</v>
      </c>
      <c r="U27" s="46">
        <f t="shared" ref="U27:U28" si="46">$D$27/G27*$P$27</f>
        <v>1</v>
      </c>
      <c r="V27" s="46">
        <f t="shared" ref="V27:V28" si="47">$D$27/H27*$P$27</f>
        <v>1</v>
      </c>
      <c r="W27" s="46">
        <f t="shared" ref="W27:W28" si="48">$D$27/I27*$P$27</f>
        <v>1</v>
      </c>
      <c r="X27" s="46">
        <f t="shared" ref="X27:X28" si="49">$D$27/J27*$P$27</f>
        <v>1</v>
      </c>
      <c r="Y27" s="46">
        <f t="shared" ref="Y27:Y28" si="50">$D$27/K27*$P$27</f>
        <v>1</v>
      </c>
      <c r="Z27" s="46">
        <f t="shared" ref="Z27:Z28" si="51">$D$27/L27*$P$27</f>
        <v>1</v>
      </c>
      <c r="AA27" s="47">
        <f t="shared" ref="AA27:AA28" si="52">$D$27/M27*$P$27</f>
        <v>1</v>
      </c>
      <c r="AB27" s="17" t="s">
        <v>43</v>
      </c>
      <c r="AC27" s="6" t="str">
        <f t="shared" si="10"/>
        <v>resid freezerselectricityfreezer</v>
      </c>
    </row>
    <row r="28" spans="1:29" s="13" customFormat="1" ht="14" customHeight="1" x14ac:dyDescent="0.2">
      <c r="A28" s="27" t="s">
        <v>76</v>
      </c>
      <c r="B28" s="17" t="s">
        <v>7</v>
      </c>
      <c r="C28" s="17" t="s">
        <v>14</v>
      </c>
      <c r="D28">
        <v>371.5</v>
      </c>
      <c r="E28">
        <v>371.5</v>
      </c>
      <c r="F28">
        <v>371.5</v>
      </c>
      <c r="G28">
        <v>371.5</v>
      </c>
      <c r="H28">
        <v>371.5</v>
      </c>
      <c r="I28">
        <v>371.5</v>
      </c>
      <c r="J28">
        <v>371.5</v>
      </c>
      <c r="K28">
        <v>371.5</v>
      </c>
      <c r="L28">
        <v>371.5</v>
      </c>
      <c r="M28">
        <v>371.5</v>
      </c>
      <c r="N28" s="17" t="s">
        <v>36</v>
      </c>
      <c r="O28" t="s">
        <v>139</v>
      </c>
      <c r="R28" s="46">
        <f t="shared" ref="R28" si="53">$D$27/D28*$P$27</f>
        <v>1</v>
      </c>
      <c r="S28" s="46">
        <f t="shared" si="44"/>
        <v>1</v>
      </c>
      <c r="T28" s="46">
        <f t="shared" si="45"/>
        <v>1</v>
      </c>
      <c r="U28" s="46">
        <f t="shared" si="46"/>
        <v>1</v>
      </c>
      <c r="V28" s="46">
        <f t="shared" si="47"/>
        <v>1</v>
      </c>
      <c r="W28" s="46">
        <f t="shared" si="48"/>
        <v>1</v>
      </c>
      <c r="X28" s="46">
        <f t="shared" si="49"/>
        <v>1</v>
      </c>
      <c r="Y28" s="46">
        <f t="shared" si="50"/>
        <v>1</v>
      </c>
      <c r="Z28" s="46">
        <f t="shared" si="51"/>
        <v>1</v>
      </c>
      <c r="AA28" s="47">
        <f t="shared" si="52"/>
        <v>1</v>
      </c>
      <c r="AB28" s="17" t="s">
        <v>43</v>
      </c>
      <c r="AC28" s="6" t="str">
        <f t="shared" si="10"/>
        <v>resid freezerselectricityfreezer hi-eff</v>
      </c>
    </row>
    <row r="29" spans="1:29" s="13" customFormat="1" ht="14" customHeight="1" x14ac:dyDescent="0.2">
      <c r="A29" s="30" t="s">
        <v>73</v>
      </c>
      <c r="B29" s="20" t="s">
        <v>7</v>
      </c>
      <c r="C29" s="20" t="s">
        <v>29</v>
      </c>
      <c r="D29">
        <v>17.399999999999999</v>
      </c>
      <c r="E29">
        <v>17.399999999999999</v>
      </c>
      <c r="F29">
        <v>17.399999999999999</v>
      </c>
      <c r="G29">
        <v>17.399999999999999</v>
      </c>
      <c r="H29">
        <v>17.399999999999999</v>
      </c>
      <c r="I29">
        <v>17.399999999999999</v>
      </c>
      <c r="J29">
        <v>17.399999999999999</v>
      </c>
      <c r="K29">
        <v>17.399999999999999</v>
      </c>
      <c r="L29">
        <v>17.399999999999999</v>
      </c>
      <c r="M29">
        <v>17.399999999999999</v>
      </c>
      <c r="N29" s="20" t="s">
        <v>37</v>
      </c>
      <c r="O29" t="s">
        <v>142</v>
      </c>
      <c r="R29" s="52">
        <f>D29*1000/1000000/0.0036</f>
        <v>4.833333333333333</v>
      </c>
      <c r="S29" s="52">
        <f t="shared" ref="S29:S31" si="54">E29*1000/1000000/0.0036</f>
        <v>4.833333333333333</v>
      </c>
      <c r="T29" s="12">
        <f t="shared" ref="T29" si="55">F29*1000/1000000/0.0036</f>
        <v>4.833333333333333</v>
      </c>
      <c r="U29" s="12">
        <f t="shared" ref="U29" si="56">G29*1000/1000000/0.0036</f>
        <v>4.833333333333333</v>
      </c>
      <c r="V29" s="12">
        <f t="shared" ref="V29" si="57">H29*1000/1000000/0.0036</f>
        <v>4.833333333333333</v>
      </c>
      <c r="W29" s="12">
        <f t="shared" ref="W29" si="58">I29*1000/1000000/0.0036</f>
        <v>4.833333333333333</v>
      </c>
      <c r="X29" s="12">
        <f t="shared" ref="X29" si="59">J29*1000/1000000/0.0036</f>
        <v>4.833333333333333</v>
      </c>
      <c r="Y29" s="12">
        <f t="shared" ref="Y29:Y31" si="60">K29*1000/1000000/0.0036</f>
        <v>4.833333333333333</v>
      </c>
      <c r="Z29" s="12">
        <f t="shared" ref="Z29:Z31" si="61">L29*1000/1000000/0.0036</f>
        <v>4.833333333333333</v>
      </c>
      <c r="AA29" s="12">
        <f t="shared" ref="AA29" si="62">M29*1000/1000000/0.0036</f>
        <v>4.833333333333333</v>
      </c>
      <c r="AB29" s="20" t="s">
        <v>103</v>
      </c>
      <c r="AC29" s="6" t="str">
        <f t="shared" si="10"/>
        <v>resid lightingelectricityincandescent</v>
      </c>
    </row>
    <row r="30" spans="1:29" s="13" customFormat="1" ht="14" customHeight="1" x14ac:dyDescent="0.2">
      <c r="A30" s="30" t="s">
        <v>73</v>
      </c>
      <c r="B30" s="20" t="s">
        <v>7</v>
      </c>
      <c r="C30" s="20" t="s">
        <v>28</v>
      </c>
      <c r="D30">
        <v>70.599999999999994</v>
      </c>
      <c r="E30">
        <v>70.599999999999994</v>
      </c>
      <c r="F30">
        <v>70.599999999999994</v>
      </c>
      <c r="G30">
        <v>70.599999999999994</v>
      </c>
      <c r="H30">
        <v>74.2</v>
      </c>
      <c r="I30">
        <v>74.2</v>
      </c>
      <c r="J30">
        <v>78</v>
      </c>
      <c r="K30">
        <v>78</v>
      </c>
      <c r="L30">
        <v>78</v>
      </c>
      <c r="M30">
        <v>78</v>
      </c>
      <c r="N30" s="20" t="s">
        <v>37</v>
      </c>
      <c r="O30" t="s">
        <v>142</v>
      </c>
      <c r="R30" s="52">
        <f t="shared" ref="R30:R31" si="63">D30*1000/1000000/0.0036</f>
        <v>19.611111111111111</v>
      </c>
      <c r="S30" s="52">
        <f t="shared" si="54"/>
        <v>19.611111111111111</v>
      </c>
      <c r="T30" s="52">
        <f t="shared" ref="T30:T31" si="64">F30*1000/1000000/0.0036</f>
        <v>19.611111111111111</v>
      </c>
      <c r="U30" s="52">
        <f t="shared" ref="U30:U31" si="65">G30*1000/1000000/0.0036</f>
        <v>19.611111111111111</v>
      </c>
      <c r="V30" s="52">
        <f t="shared" ref="V30:V31" si="66">H30*1000/1000000/0.0036</f>
        <v>20.611111111111111</v>
      </c>
      <c r="W30" s="52">
        <f t="shared" ref="W30:W31" si="67">I30*1000/1000000/0.0036</f>
        <v>20.611111111111111</v>
      </c>
      <c r="X30" s="52">
        <f t="shared" ref="X30:X31" si="68">J30*1000/1000000/0.0036</f>
        <v>21.666666666666668</v>
      </c>
      <c r="Y30" s="52">
        <f t="shared" si="60"/>
        <v>21.666666666666668</v>
      </c>
      <c r="Z30" s="52">
        <f t="shared" si="61"/>
        <v>21.666666666666668</v>
      </c>
      <c r="AA30" s="53">
        <f t="shared" ref="AA30:AA31" si="69">M30*1000/1000000/0.0036</f>
        <v>21.666666666666668</v>
      </c>
      <c r="AB30" s="20" t="s">
        <v>103</v>
      </c>
      <c r="AC30" s="6" t="str">
        <f t="shared" si="10"/>
        <v>resid lightingelectricityfluorescent</v>
      </c>
    </row>
    <row r="31" spans="1:29" s="13" customFormat="1" ht="14" customHeight="1" x14ac:dyDescent="0.2">
      <c r="A31" s="30" t="s">
        <v>73</v>
      </c>
      <c r="B31" s="20" t="s">
        <v>7</v>
      </c>
      <c r="C31" s="20" t="s">
        <v>30</v>
      </c>
      <c r="D31">
        <v>87.4</v>
      </c>
      <c r="E31">
        <v>87.4</v>
      </c>
      <c r="F31">
        <v>87.4</v>
      </c>
      <c r="G31">
        <v>100.1</v>
      </c>
      <c r="H31">
        <v>112.7</v>
      </c>
      <c r="I31">
        <v>112.7</v>
      </c>
      <c r="J31">
        <v>138.1</v>
      </c>
      <c r="K31">
        <v>138.1</v>
      </c>
      <c r="L31">
        <v>138.1</v>
      </c>
      <c r="M31">
        <v>138.1</v>
      </c>
      <c r="N31" s="20" t="s">
        <v>37</v>
      </c>
      <c r="O31" t="s">
        <v>142</v>
      </c>
      <c r="R31" s="52">
        <f t="shared" si="63"/>
        <v>24.277777777777779</v>
      </c>
      <c r="S31" s="52">
        <f t="shared" si="54"/>
        <v>24.277777777777779</v>
      </c>
      <c r="T31" s="52">
        <f t="shared" si="64"/>
        <v>24.277777777777779</v>
      </c>
      <c r="U31" s="52">
        <f t="shared" si="65"/>
        <v>27.805555555555554</v>
      </c>
      <c r="V31" s="52">
        <f t="shared" si="66"/>
        <v>31.305555555555554</v>
      </c>
      <c r="W31" s="52">
        <f t="shared" si="67"/>
        <v>31.305555555555554</v>
      </c>
      <c r="X31" s="52">
        <f t="shared" si="68"/>
        <v>38.361111111111114</v>
      </c>
      <c r="Y31" s="52">
        <f t="shared" si="60"/>
        <v>38.361111111111114</v>
      </c>
      <c r="Z31" s="52">
        <f t="shared" si="61"/>
        <v>38.361111111111114</v>
      </c>
      <c r="AA31" s="53">
        <f t="shared" si="69"/>
        <v>38.361111111111114</v>
      </c>
      <c r="AB31" s="20" t="s">
        <v>103</v>
      </c>
      <c r="AC31" s="6" t="str">
        <f t="shared" si="10"/>
        <v>resid lightingelectricitysolid state</v>
      </c>
    </row>
    <row r="32" spans="1:29" s="13" customFormat="1" ht="14" customHeight="1" x14ac:dyDescent="0.2">
      <c r="A32" s="28" t="s">
        <v>74</v>
      </c>
      <c r="B32" s="18" t="s">
        <v>7</v>
      </c>
      <c r="C32" s="18" t="s">
        <v>5</v>
      </c>
      <c r="D32">
        <v>0.22500000000000001</v>
      </c>
      <c r="E32">
        <v>0.22500000000000001</v>
      </c>
      <c r="F32">
        <v>0.22500000000000001</v>
      </c>
      <c r="G32">
        <v>0.22500000000000001</v>
      </c>
      <c r="H32">
        <v>0.20499999999999999</v>
      </c>
      <c r="I32">
        <v>0.20499999999999999</v>
      </c>
      <c r="J32">
        <v>0.20499999999999999</v>
      </c>
      <c r="K32">
        <v>0.20499999999999999</v>
      </c>
      <c r="L32">
        <v>0.20499999999999999</v>
      </c>
      <c r="M32">
        <v>0.20499999999999999</v>
      </c>
      <c r="N32" s="18" t="s">
        <v>68</v>
      </c>
      <c r="O32" t="s">
        <v>68</v>
      </c>
      <c r="R32" s="60">
        <f>1/D32/0.0036</f>
        <v>1234.5679012345679</v>
      </c>
      <c r="S32" s="60">
        <f t="shared" ref="S32:S33" si="70">1/E32/0.0036</f>
        <v>1234.5679012345679</v>
      </c>
      <c r="T32" s="60">
        <f t="shared" ref="T32:T33" si="71">1/F32/0.0036</f>
        <v>1234.5679012345679</v>
      </c>
      <c r="U32" s="60">
        <f t="shared" ref="U32:U33" si="72">1/G32/0.0036</f>
        <v>1234.5679012345679</v>
      </c>
      <c r="V32" s="60">
        <f t="shared" ref="V32:V33" si="73">1/H32/0.0036</f>
        <v>1355.0135501355014</v>
      </c>
      <c r="W32" s="60">
        <f t="shared" ref="W32:W33" si="74">1/I32/0.0036</f>
        <v>1355.0135501355014</v>
      </c>
      <c r="X32" s="60">
        <f t="shared" ref="X32:X33" si="75">1/J32/0.0036</f>
        <v>1355.0135501355014</v>
      </c>
      <c r="Y32" s="60">
        <f t="shared" ref="Y32:Y33" si="76">1/K32/0.0036</f>
        <v>1355.0135501355014</v>
      </c>
      <c r="Z32" s="60">
        <f t="shared" ref="Z32:Z33" si="77">1/L32/0.0036</f>
        <v>1355.0135501355014</v>
      </c>
      <c r="AA32" s="61">
        <f t="shared" ref="AA32:AA33" si="78">1/M32/0.0036</f>
        <v>1355.0135501355014</v>
      </c>
      <c r="AB32" s="18" t="s">
        <v>104</v>
      </c>
      <c r="AC32" s="6" t="str">
        <f t="shared" si="10"/>
        <v>resid clothes washerselectricityclothes washer</v>
      </c>
    </row>
    <row r="33" spans="1:29" s="13" customFormat="1" ht="14" customHeight="1" x14ac:dyDescent="0.2">
      <c r="A33" s="28" t="s">
        <v>74</v>
      </c>
      <c r="B33" s="18" t="s">
        <v>7</v>
      </c>
      <c r="C33" s="18" t="s">
        <v>6</v>
      </c>
      <c r="D33">
        <v>0.22500000000000001</v>
      </c>
      <c r="E33">
        <v>0.22500000000000001</v>
      </c>
      <c r="F33">
        <v>0.22500000000000001</v>
      </c>
      <c r="G33">
        <v>0.22500000000000001</v>
      </c>
      <c r="H33">
        <v>0.20499999999999999</v>
      </c>
      <c r="I33">
        <v>0.20499999999999999</v>
      </c>
      <c r="J33">
        <v>0.20499999999999999</v>
      </c>
      <c r="K33">
        <v>0.20499999999999999</v>
      </c>
      <c r="L33">
        <v>0.20499999999999999</v>
      </c>
      <c r="M33">
        <v>0.20499999999999999</v>
      </c>
      <c r="N33" s="18" t="s">
        <v>68</v>
      </c>
      <c r="O33" t="s">
        <v>68</v>
      </c>
      <c r="R33" s="60">
        <f t="shared" ref="R33" si="79">1/D33/0.0036</f>
        <v>1234.5679012345679</v>
      </c>
      <c r="S33" s="60">
        <f t="shared" si="70"/>
        <v>1234.5679012345679</v>
      </c>
      <c r="T33" s="60">
        <f t="shared" si="71"/>
        <v>1234.5679012345679</v>
      </c>
      <c r="U33" s="60">
        <f t="shared" si="72"/>
        <v>1234.5679012345679</v>
      </c>
      <c r="V33" s="60">
        <f t="shared" si="73"/>
        <v>1355.0135501355014</v>
      </c>
      <c r="W33" s="60">
        <f t="shared" si="74"/>
        <v>1355.0135501355014</v>
      </c>
      <c r="X33" s="60">
        <f t="shared" si="75"/>
        <v>1355.0135501355014</v>
      </c>
      <c r="Y33" s="60">
        <f t="shared" si="76"/>
        <v>1355.0135501355014</v>
      </c>
      <c r="Z33" s="60">
        <f t="shared" si="77"/>
        <v>1355.0135501355014</v>
      </c>
      <c r="AA33" s="61">
        <f t="shared" si="78"/>
        <v>1355.0135501355014</v>
      </c>
      <c r="AB33" s="18" t="s">
        <v>104</v>
      </c>
      <c r="AC33" s="6" t="str">
        <f t="shared" si="10"/>
        <v>resid clothes washerselectricityclothes washer hi-eff</v>
      </c>
    </row>
    <row r="34" spans="1:29" s="13" customFormat="1" ht="14" customHeight="1" x14ac:dyDescent="0.2">
      <c r="A34" s="27" t="s">
        <v>75</v>
      </c>
      <c r="B34" s="17" t="s">
        <v>7</v>
      </c>
      <c r="C34" s="17" t="s">
        <v>11</v>
      </c>
      <c r="D34">
        <v>0.79629629599999996</v>
      </c>
      <c r="E34">
        <v>0.79629629599999996</v>
      </c>
      <c r="F34">
        <v>0.79629629599999996</v>
      </c>
      <c r="G34">
        <v>0.79629629599999996</v>
      </c>
      <c r="H34">
        <v>0.79629629599999996</v>
      </c>
      <c r="I34">
        <v>0.79629629599999996</v>
      </c>
      <c r="J34">
        <v>0.79629629599999996</v>
      </c>
      <c r="K34">
        <v>0.79629629599999996</v>
      </c>
      <c r="L34">
        <v>0.79629629599999996</v>
      </c>
      <c r="M34">
        <v>0.79629629599999996</v>
      </c>
      <c r="N34" s="17" t="s">
        <v>69</v>
      </c>
      <c r="O34" t="s">
        <v>143</v>
      </c>
      <c r="R34" s="58">
        <f>D34/0.0036</f>
        <v>221.19341555555556</v>
      </c>
      <c r="S34" s="58">
        <f t="shared" ref="S34:S35" si="80">E34/0.0036</f>
        <v>221.19341555555556</v>
      </c>
      <c r="T34" s="58">
        <f t="shared" ref="T34:T35" si="81">F34/0.0036</f>
        <v>221.19341555555556</v>
      </c>
      <c r="U34" s="58">
        <f t="shared" ref="U34:U35" si="82">G34/0.0036</f>
        <v>221.19341555555556</v>
      </c>
      <c r="V34" s="58">
        <f t="shared" ref="V34:V35" si="83">H34/0.0036</f>
        <v>221.19341555555556</v>
      </c>
      <c r="W34" s="58">
        <f t="shared" ref="W34:W35" si="84">I34/0.0036</f>
        <v>221.19341555555556</v>
      </c>
      <c r="X34" s="58">
        <f t="shared" ref="X34:X35" si="85">J34/0.0036</f>
        <v>221.19341555555556</v>
      </c>
      <c r="Y34" s="58">
        <f t="shared" ref="Y34:Y35" si="86">K34/0.0036</f>
        <v>221.19341555555556</v>
      </c>
      <c r="Z34" s="58">
        <f t="shared" ref="Z34:Z35" si="87">L34/0.0036</f>
        <v>221.19341555555556</v>
      </c>
      <c r="AA34" s="59">
        <f t="shared" ref="AA34:AA35" si="88">M34/0.0036</f>
        <v>221.19341555555556</v>
      </c>
      <c r="AB34" s="17" t="s">
        <v>104</v>
      </c>
      <c r="AC34" s="6" t="str">
        <f t="shared" si="10"/>
        <v>resid dishwasherselectricitydishwasher</v>
      </c>
    </row>
    <row r="35" spans="1:29" s="13" customFormat="1" ht="14" customHeight="1" x14ac:dyDescent="0.2">
      <c r="A35" s="27" t="s">
        <v>75</v>
      </c>
      <c r="B35" s="17" t="s">
        <v>7</v>
      </c>
      <c r="C35" s="17" t="s">
        <v>12</v>
      </c>
      <c r="D35">
        <v>0.79629629599999996</v>
      </c>
      <c r="E35">
        <v>0.79629629599999996</v>
      </c>
      <c r="F35">
        <v>0.79629629599999996</v>
      </c>
      <c r="G35">
        <v>0.79629629599999996</v>
      </c>
      <c r="H35">
        <v>0.79629629599999996</v>
      </c>
      <c r="I35">
        <v>0.79629629599999996</v>
      </c>
      <c r="J35">
        <v>0.79629629599999996</v>
      </c>
      <c r="K35">
        <v>0.79629629599999996</v>
      </c>
      <c r="L35">
        <v>0.79629629599999996</v>
      </c>
      <c r="M35">
        <v>0.79629629599999996</v>
      </c>
      <c r="N35" s="17" t="s">
        <v>69</v>
      </c>
      <c r="O35" t="s">
        <v>143</v>
      </c>
      <c r="R35" s="58">
        <f t="shared" ref="R35" si="89">D35/0.0036</f>
        <v>221.19341555555556</v>
      </c>
      <c r="S35" s="58">
        <f t="shared" si="80"/>
        <v>221.19341555555556</v>
      </c>
      <c r="T35" s="58">
        <f t="shared" si="81"/>
        <v>221.19341555555556</v>
      </c>
      <c r="U35" s="58">
        <f t="shared" si="82"/>
        <v>221.19341555555556</v>
      </c>
      <c r="V35" s="58">
        <f t="shared" si="83"/>
        <v>221.19341555555556</v>
      </c>
      <c r="W35" s="58">
        <f t="shared" si="84"/>
        <v>221.19341555555556</v>
      </c>
      <c r="X35" s="58">
        <f t="shared" si="85"/>
        <v>221.19341555555556</v>
      </c>
      <c r="Y35" s="58">
        <f t="shared" si="86"/>
        <v>221.19341555555556</v>
      </c>
      <c r="Z35" s="58">
        <f t="shared" si="87"/>
        <v>221.19341555555556</v>
      </c>
      <c r="AA35" s="59">
        <f t="shared" si="88"/>
        <v>221.19341555555556</v>
      </c>
      <c r="AB35" s="17" t="s">
        <v>104</v>
      </c>
      <c r="AC35" s="6" t="str">
        <f t="shared" si="10"/>
        <v>resid dishwasherselectricitydishwasher hi-eff</v>
      </c>
    </row>
    <row r="36" spans="1:29" s="13" customFormat="1" ht="14" customHeight="1" x14ac:dyDescent="0.2">
      <c r="A36" s="42" t="s">
        <v>80</v>
      </c>
      <c r="B36" s="43" t="s">
        <v>7</v>
      </c>
      <c r="C36" s="43" t="s">
        <v>7</v>
      </c>
      <c r="D36" s="6"/>
      <c r="E36" s="6"/>
      <c r="F36" s="6"/>
      <c r="G36" s="6"/>
      <c r="H36" s="6"/>
      <c r="I36" s="6"/>
      <c r="J36" s="6"/>
      <c r="K36" s="6"/>
      <c r="L36" s="6"/>
      <c r="M36" s="34"/>
      <c r="N36" s="43"/>
    </row>
    <row r="37" spans="1:29" s="13" customFormat="1" ht="14" customHeight="1" x14ac:dyDescent="0.2">
      <c r="A37" s="42" t="s">
        <v>81</v>
      </c>
      <c r="B37" s="43" t="s">
        <v>7</v>
      </c>
      <c r="C37" s="43" t="s">
        <v>7</v>
      </c>
      <c r="D37" s="6"/>
      <c r="E37" s="6"/>
      <c r="F37" s="6"/>
      <c r="G37" s="6"/>
      <c r="H37" s="6"/>
      <c r="I37" s="6"/>
      <c r="J37" s="6"/>
      <c r="K37" s="6"/>
      <c r="L37" s="6"/>
      <c r="M37" s="34"/>
      <c r="N37" s="43"/>
    </row>
    <row r="38" spans="1:29" s="13" customFormat="1" ht="14" customHeight="1" x14ac:dyDescent="0.2">
      <c r="A38" s="33" t="s">
        <v>82</v>
      </c>
      <c r="B38" s="23" t="s">
        <v>7</v>
      </c>
      <c r="C38" s="23" t="s">
        <v>7</v>
      </c>
      <c r="D38" s="6"/>
      <c r="E38" s="6"/>
      <c r="F38" s="6"/>
      <c r="G38" s="6"/>
      <c r="H38" s="6"/>
      <c r="I38" s="6"/>
      <c r="J38" s="6"/>
      <c r="K38" s="6"/>
      <c r="L38" s="6"/>
      <c r="M38" s="34"/>
      <c r="N38" s="23"/>
      <c r="O38" s="6"/>
    </row>
    <row r="39" spans="1:29" s="13" customFormat="1" ht="14" customHeight="1" x14ac:dyDescent="0.2">
      <c r="A39" s="33" t="s">
        <v>83</v>
      </c>
      <c r="B39" s="23" t="s">
        <v>31</v>
      </c>
      <c r="C39" s="23" t="s">
        <v>31</v>
      </c>
      <c r="M39" s="35"/>
      <c r="N39" s="23"/>
    </row>
    <row r="40" spans="1:29" s="13" customFormat="1" ht="14" customHeight="1" x14ac:dyDescent="0.2">
      <c r="A40" s="33" t="s">
        <v>83</v>
      </c>
      <c r="B40" s="23" t="s">
        <v>7</v>
      </c>
      <c r="C40" s="23" t="s">
        <v>7</v>
      </c>
      <c r="M40" s="35"/>
      <c r="N40" s="23"/>
    </row>
    <row r="41" spans="1:29" ht="14" customHeight="1" thickBot="1" x14ac:dyDescent="0.25">
      <c r="A41" s="36" t="s">
        <v>83</v>
      </c>
      <c r="B41" s="24" t="s">
        <v>8</v>
      </c>
      <c r="C41" s="24" t="s">
        <v>8</v>
      </c>
      <c r="D41" s="25"/>
      <c r="E41" s="25"/>
      <c r="F41" s="25"/>
      <c r="G41" s="25"/>
      <c r="H41" s="25"/>
      <c r="I41" s="25"/>
      <c r="J41" s="25"/>
      <c r="K41" s="25"/>
      <c r="L41" s="25"/>
      <c r="M41" s="37"/>
      <c r="N41" s="24"/>
    </row>
  </sheetData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workbookViewId="0">
      <selection activeCell="O21" sqref="O21"/>
    </sheetView>
  </sheetViews>
  <sheetFormatPr baseColWidth="10" defaultColWidth="8.83203125" defaultRowHeight="15" x14ac:dyDescent="0.2"/>
  <cols>
    <col min="1" max="1" width="16" bestFit="1" customWidth="1"/>
    <col min="2" max="2" width="14.1640625" bestFit="1" customWidth="1"/>
    <col min="3" max="3" width="30" bestFit="1" customWidth="1"/>
    <col min="4" max="4" width="9.33203125" customWidth="1"/>
    <col min="5" max="13" width="6.6640625" customWidth="1"/>
    <col min="14" max="14" width="16" bestFit="1" customWidth="1"/>
  </cols>
  <sheetData>
    <row r="1" spans="1:17" ht="16" thickBot="1" x14ac:dyDescent="0.25"/>
    <row r="2" spans="1:17" ht="14" customHeight="1" thickBot="1" x14ac:dyDescent="0.25">
      <c r="A2" s="26" t="s">
        <v>50</v>
      </c>
      <c r="B2" s="16" t="s">
        <v>51</v>
      </c>
      <c r="C2" s="16" t="s">
        <v>52</v>
      </c>
      <c r="D2" s="15">
        <v>2010</v>
      </c>
      <c r="E2" s="8">
        <v>2015</v>
      </c>
      <c r="F2" s="8">
        <v>2020</v>
      </c>
      <c r="G2" s="8">
        <v>2025</v>
      </c>
      <c r="H2" s="8">
        <v>2030</v>
      </c>
      <c r="I2" s="8">
        <v>2035</v>
      </c>
      <c r="J2" s="8">
        <v>2040</v>
      </c>
      <c r="K2" s="73">
        <v>2045</v>
      </c>
      <c r="L2" s="73">
        <v>2050</v>
      </c>
      <c r="M2" s="9">
        <v>2100</v>
      </c>
      <c r="N2" s="16" t="s">
        <v>34</v>
      </c>
    </row>
    <row r="3" spans="1:17" ht="14" customHeight="1" x14ac:dyDescent="0.2">
      <c r="A3" s="38" t="s">
        <v>53</v>
      </c>
      <c r="B3" s="39" t="s">
        <v>31</v>
      </c>
      <c r="C3" s="39" t="s">
        <v>15</v>
      </c>
      <c r="D3">
        <v>0.79385087593974102</v>
      </c>
      <c r="E3">
        <v>0.79385087593974102</v>
      </c>
      <c r="F3">
        <v>0.79385087593974102</v>
      </c>
      <c r="G3">
        <v>0.79822594433940897</v>
      </c>
      <c r="H3">
        <v>0.80128109868990505</v>
      </c>
      <c r="I3">
        <v>0.80322170005970595</v>
      </c>
      <c r="J3">
        <v>0.80408113524590696</v>
      </c>
      <c r="K3">
        <v>0.80438089710712901</v>
      </c>
      <c r="L3">
        <v>0.80454163378186905</v>
      </c>
      <c r="M3">
        <v>0.80454163378186905</v>
      </c>
      <c r="N3" s="39" t="s">
        <v>41</v>
      </c>
      <c r="O3" s="6" t="str">
        <f>A3&amp;B3&amp;C3</f>
        <v>comm heatinggasgas furnace</v>
      </c>
      <c r="P3" s="6"/>
      <c r="Q3" s="6"/>
    </row>
    <row r="4" spans="1:17" ht="14" customHeight="1" x14ac:dyDescent="0.2">
      <c r="A4" s="27" t="s">
        <v>53</v>
      </c>
      <c r="B4" s="17" t="s">
        <v>31</v>
      </c>
      <c r="C4" s="17" t="s">
        <v>16</v>
      </c>
      <c r="D4">
        <v>0.79385087593974102</v>
      </c>
      <c r="E4">
        <v>0.79385087593974102</v>
      </c>
      <c r="F4">
        <v>0.79385087593974102</v>
      </c>
      <c r="G4">
        <v>0.79822594433940897</v>
      </c>
      <c r="H4">
        <v>0.80128109868990505</v>
      </c>
      <c r="I4">
        <v>0.80322170005970595</v>
      </c>
      <c r="J4">
        <v>0.80408113524590696</v>
      </c>
      <c r="K4">
        <v>0.80438089710712901</v>
      </c>
      <c r="L4">
        <v>0.80454163378186905</v>
      </c>
      <c r="M4">
        <v>0.80454163378186905</v>
      </c>
      <c r="N4" s="17" t="s">
        <v>41</v>
      </c>
      <c r="O4" s="6" t="str">
        <f t="shared" ref="O4:O26" si="0">A4&amp;B4&amp;C4</f>
        <v>comm heatinggasgas furnace hi-eff</v>
      </c>
    </row>
    <row r="5" spans="1:17" ht="14" customHeight="1" x14ac:dyDescent="0.2">
      <c r="A5" s="27" t="s">
        <v>53</v>
      </c>
      <c r="B5" s="17" t="s">
        <v>7</v>
      </c>
      <c r="C5" s="17" t="s">
        <v>17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 s="17" t="s">
        <v>41</v>
      </c>
      <c r="O5" s="6" t="str">
        <f t="shared" si="0"/>
        <v>comm heatingelectricityelectric furnace</v>
      </c>
    </row>
    <row r="6" spans="1:17" ht="14" customHeight="1" x14ac:dyDescent="0.2">
      <c r="A6" s="27" t="s">
        <v>53</v>
      </c>
      <c r="B6" s="17" t="s">
        <v>7</v>
      </c>
      <c r="C6" s="17" t="s">
        <v>18</v>
      </c>
      <c r="D6">
        <v>3.4</v>
      </c>
      <c r="E6">
        <v>3.4</v>
      </c>
      <c r="F6">
        <v>3.4</v>
      </c>
      <c r="G6">
        <v>3.4</v>
      </c>
      <c r="H6">
        <v>3.4</v>
      </c>
      <c r="I6">
        <v>3.4</v>
      </c>
      <c r="J6">
        <v>3.4</v>
      </c>
      <c r="K6">
        <v>3.4</v>
      </c>
      <c r="L6">
        <v>3.4</v>
      </c>
      <c r="M6">
        <v>3.4</v>
      </c>
      <c r="N6" s="17" t="s">
        <v>41</v>
      </c>
      <c r="O6" s="6" t="str">
        <f t="shared" si="0"/>
        <v>comm heatingelectricityelectric heat pump</v>
      </c>
    </row>
    <row r="7" spans="1:17" ht="14" customHeight="1" x14ac:dyDescent="0.2">
      <c r="A7" s="27" t="s">
        <v>53</v>
      </c>
      <c r="B7" s="17" t="s">
        <v>8</v>
      </c>
      <c r="C7" s="17" t="s">
        <v>19</v>
      </c>
      <c r="D7">
        <v>0.80031962404832302</v>
      </c>
      <c r="E7">
        <v>0.80031962404832302</v>
      </c>
      <c r="F7">
        <v>0.80031962404832302</v>
      </c>
      <c r="G7">
        <v>0.811620427110329</v>
      </c>
      <c r="H7">
        <v>0.81760053631119201</v>
      </c>
      <c r="I7">
        <v>0.82126588198185901</v>
      </c>
      <c r="J7">
        <v>0.82367372239100001</v>
      </c>
      <c r="K7">
        <v>0.82534507650437205</v>
      </c>
      <c r="L7">
        <v>0.82653346776366798</v>
      </c>
      <c r="M7">
        <v>0.82653346776366798</v>
      </c>
      <c r="N7" s="17" t="s">
        <v>41</v>
      </c>
      <c r="O7" s="6" t="str">
        <f t="shared" si="0"/>
        <v>comm heatingrefined liquidsfuel furnace</v>
      </c>
    </row>
    <row r="8" spans="1:17" ht="14" customHeight="1" x14ac:dyDescent="0.2">
      <c r="A8" s="28" t="s">
        <v>54</v>
      </c>
      <c r="B8" s="18" t="s">
        <v>31</v>
      </c>
      <c r="C8" s="18" t="s">
        <v>38</v>
      </c>
      <c r="D8">
        <v>1.29864173227629</v>
      </c>
      <c r="E8">
        <v>1.29864173227629</v>
      </c>
      <c r="F8">
        <v>1.29864173227629</v>
      </c>
      <c r="G8">
        <v>1.3619932371732599</v>
      </c>
      <c r="H8">
        <v>1.4063555094361899</v>
      </c>
      <c r="I8">
        <v>1.4353207913647901</v>
      </c>
      <c r="J8">
        <v>1.45525043099119</v>
      </c>
      <c r="K8">
        <v>1.46880184862903</v>
      </c>
      <c r="L8">
        <v>1.4787505941607</v>
      </c>
      <c r="M8">
        <v>1.4787505941607</v>
      </c>
      <c r="N8" s="18" t="s">
        <v>41</v>
      </c>
      <c r="O8" s="6" t="str">
        <f t="shared" si="0"/>
        <v>comm coolinggasgas cooling</v>
      </c>
    </row>
    <row r="9" spans="1:17" ht="14" customHeight="1" x14ac:dyDescent="0.2">
      <c r="A9" s="28" t="s">
        <v>54</v>
      </c>
      <c r="B9" s="18" t="s">
        <v>7</v>
      </c>
      <c r="C9" s="18" t="s">
        <v>9</v>
      </c>
      <c r="D9">
        <v>3.2354302800811601</v>
      </c>
      <c r="E9">
        <v>3.2354302800811601</v>
      </c>
      <c r="F9">
        <v>3.2354302800811601</v>
      </c>
      <c r="G9">
        <v>3.3208317492213801</v>
      </c>
      <c r="H9">
        <v>3.3898202383505498</v>
      </c>
      <c r="I9">
        <v>3.4415911745684999</v>
      </c>
      <c r="J9">
        <v>3.48031189396719</v>
      </c>
      <c r="K9">
        <v>3.5094405235024602</v>
      </c>
      <c r="L9">
        <v>3.5313973378743002</v>
      </c>
      <c r="M9">
        <v>3.5313973378743002</v>
      </c>
      <c r="N9" s="18" t="s">
        <v>41</v>
      </c>
      <c r="O9" s="6" t="str">
        <f t="shared" si="0"/>
        <v>comm coolingelectricityair conditioning</v>
      </c>
    </row>
    <row r="10" spans="1:17" ht="14" customHeight="1" x14ac:dyDescent="0.2">
      <c r="A10" s="28" t="s">
        <v>54</v>
      </c>
      <c r="B10" s="18" t="s">
        <v>7</v>
      </c>
      <c r="C10" s="18" t="s">
        <v>10</v>
      </c>
      <c r="D10">
        <v>3.4</v>
      </c>
      <c r="E10">
        <v>3.4</v>
      </c>
      <c r="F10">
        <v>3.4</v>
      </c>
      <c r="G10">
        <v>3.4854014691402102</v>
      </c>
      <c r="H10">
        <v>3.5543899582693901</v>
      </c>
      <c r="I10">
        <v>3.60616089448733</v>
      </c>
      <c r="J10">
        <v>3.6448816138860298</v>
      </c>
      <c r="K10">
        <v>3.6740102434213</v>
      </c>
      <c r="L10">
        <v>3.6959670577931298</v>
      </c>
      <c r="M10">
        <v>3.6959670577931298</v>
      </c>
      <c r="N10" s="18" t="s">
        <v>41</v>
      </c>
      <c r="O10" s="6" t="str">
        <f t="shared" si="0"/>
        <v>comm coolingelectricityair conditioning hi-eff</v>
      </c>
    </row>
    <row r="11" spans="1:17" ht="14" customHeight="1" x14ac:dyDescent="0.2">
      <c r="A11" s="29" t="s">
        <v>55</v>
      </c>
      <c r="B11" s="19" t="s">
        <v>31</v>
      </c>
      <c r="C11" s="19" t="s">
        <v>21</v>
      </c>
      <c r="D11">
        <v>0.89682407055673397</v>
      </c>
      <c r="E11">
        <v>0.89682407055673397</v>
      </c>
      <c r="F11">
        <v>0.89682407055673397</v>
      </c>
      <c r="G11">
        <v>0.92323370351058898</v>
      </c>
      <c r="H11">
        <v>0.93922274270933703</v>
      </c>
      <c r="I11">
        <v>0.948677570861719</v>
      </c>
      <c r="J11">
        <v>0.95419122180750104</v>
      </c>
      <c r="K11">
        <v>0.957451220614839</v>
      </c>
      <c r="L11">
        <v>0.95938028956976795</v>
      </c>
      <c r="M11">
        <v>0.95938028956976795</v>
      </c>
      <c r="N11" s="19" t="s">
        <v>41</v>
      </c>
      <c r="O11" s="6" t="str">
        <f t="shared" si="0"/>
        <v>comm hot watergasgas water heater</v>
      </c>
    </row>
    <row r="12" spans="1:17" ht="14" customHeight="1" x14ac:dyDescent="0.2">
      <c r="A12" s="29" t="s">
        <v>55</v>
      </c>
      <c r="B12" s="19" t="s">
        <v>31</v>
      </c>
      <c r="C12" s="19" t="s">
        <v>22</v>
      </c>
      <c r="D12">
        <v>0.94</v>
      </c>
      <c r="E12">
        <v>0.94</v>
      </c>
      <c r="F12">
        <v>0.94</v>
      </c>
      <c r="G12">
        <v>0.96640963295385596</v>
      </c>
      <c r="H12">
        <v>0.98239867215260401</v>
      </c>
      <c r="I12">
        <v>0.99185350030498598</v>
      </c>
      <c r="J12">
        <v>0.99736715125076703</v>
      </c>
      <c r="K12">
        <v>1.0006271500581101</v>
      </c>
      <c r="L12">
        <v>1.0025562190130299</v>
      </c>
      <c r="M12">
        <v>1.0025562190130299</v>
      </c>
      <c r="N12" s="19" t="s">
        <v>41</v>
      </c>
      <c r="O12" s="6" t="str">
        <f t="shared" si="0"/>
        <v>comm hot watergasgas water heater hi-eff</v>
      </c>
    </row>
    <row r="13" spans="1:17" ht="14" customHeight="1" x14ac:dyDescent="0.2">
      <c r="A13" s="29" t="s">
        <v>55</v>
      </c>
      <c r="B13" s="19" t="s">
        <v>7</v>
      </c>
      <c r="C13" s="19" t="s">
        <v>23</v>
      </c>
      <c r="D13">
        <v>3.9</v>
      </c>
      <c r="E13">
        <v>3.9</v>
      </c>
      <c r="F13">
        <v>3.9</v>
      </c>
      <c r="G13">
        <v>3.9</v>
      </c>
      <c r="H13">
        <v>3.9</v>
      </c>
      <c r="I13">
        <v>3.9</v>
      </c>
      <c r="J13">
        <v>3.9</v>
      </c>
      <c r="K13">
        <v>3.9</v>
      </c>
      <c r="L13">
        <v>3.9</v>
      </c>
      <c r="M13">
        <v>3.9</v>
      </c>
      <c r="N13" s="19" t="s">
        <v>41</v>
      </c>
      <c r="O13" s="6" t="str">
        <f t="shared" si="0"/>
        <v>comm hot waterelectricityelectric heat pump water heater</v>
      </c>
    </row>
    <row r="14" spans="1:17" ht="14" customHeight="1" x14ac:dyDescent="0.2">
      <c r="A14" s="29" t="s">
        <v>55</v>
      </c>
      <c r="B14" s="19" t="s">
        <v>7</v>
      </c>
      <c r="C14" s="19" t="s">
        <v>24</v>
      </c>
      <c r="D14">
        <v>0.97</v>
      </c>
      <c r="E14">
        <v>0.97</v>
      </c>
      <c r="F14">
        <v>0.97</v>
      </c>
      <c r="G14">
        <v>0.97</v>
      </c>
      <c r="H14">
        <v>0.97</v>
      </c>
      <c r="I14">
        <v>0.97</v>
      </c>
      <c r="J14">
        <v>0.97</v>
      </c>
      <c r="K14">
        <v>0.97</v>
      </c>
      <c r="L14">
        <v>0.97</v>
      </c>
      <c r="M14">
        <v>0.97</v>
      </c>
      <c r="N14" s="19" t="s">
        <v>41</v>
      </c>
      <c r="O14" s="6" t="str">
        <f t="shared" si="0"/>
        <v>comm hot waterelectricityelectric resistance water heater</v>
      </c>
    </row>
    <row r="15" spans="1:17" ht="14" customHeight="1" x14ac:dyDescent="0.2">
      <c r="A15" s="29" t="s">
        <v>55</v>
      </c>
      <c r="B15" s="19" t="s">
        <v>8</v>
      </c>
      <c r="C15" s="19" t="s">
        <v>26</v>
      </c>
      <c r="D15">
        <v>0.80572612998134296</v>
      </c>
      <c r="E15">
        <v>0.80572612998134296</v>
      </c>
      <c r="F15">
        <v>0.80572612998134296</v>
      </c>
      <c r="G15">
        <v>0.81091571089256897</v>
      </c>
      <c r="H15">
        <v>0.81422332943616305</v>
      </c>
      <c r="I15">
        <v>0.81632560995912096</v>
      </c>
      <c r="J15">
        <v>0.81768593088909503</v>
      </c>
      <c r="K15">
        <v>0.818519394858507</v>
      </c>
      <c r="L15">
        <v>0.81904814820316696</v>
      </c>
      <c r="M15">
        <v>0.81904814820316696</v>
      </c>
      <c r="N15" s="19" t="s">
        <v>41</v>
      </c>
      <c r="O15" s="6" t="str">
        <f t="shared" si="0"/>
        <v>comm hot waterrefined liquidsfuel water heater</v>
      </c>
    </row>
    <row r="16" spans="1:17" ht="14" customHeight="1" x14ac:dyDescent="0.2">
      <c r="A16" s="30" t="s">
        <v>59</v>
      </c>
      <c r="B16" s="20" t="s">
        <v>7</v>
      </c>
      <c r="C16" s="20" t="s">
        <v>60</v>
      </c>
      <c r="D16">
        <v>3.4</v>
      </c>
      <c r="E16">
        <v>3.4</v>
      </c>
      <c r="F16">
        <v>3.4</v>
      </c>
      <c r="G16">
        <v>3.44560214651352</v>
      </c>
      <c r="H16">
        <v>3.5056306569930999</v>
      </c>
      <c r="I16">
        <v>3.6182943565948</v>
      </c>
      <c r="J16">
        <v>3.6777255050459101</v>
      </c>
      <c r="K16">
        <v>3.7092083003955501</v>
      </c>
      <c r="L16">
        <v>3.7256219516437898</v>
      </c>
      <c r="M16">
        <v>3.7256219516437898</v>
      </c>
      <c r="N16" s="20" t="s">
        <v>41</v>
      </c>
      <c r="O16" s="6" t="str">
        <f t="shared" si="0"/>
        <v>comm refrigerationelectricityrefrigeration</v>
      </c>
    </row>
    <row r="17" spans="1:22" ht="14" customHeight="1" x14ac:dyDescent="0.2">
      <c r="A17" s="30" t="s">
        <v>59</v>
      </c>
      <c r="B17" s="20" t="s">
        <v>7</v>
      </c>
      <c r="C17" s="20" t="s">
        <v>61</v>
      </c>
      <c r="D17">
        <v>3.4</v>
      </c>
      <c r="E17">
        <v>3.4</v>
      </c>
      <c r="F17">
        <v>3.4</v>
      </c>
      <c r="G17">
        <v>3.44560214651352</v>
      </c>
      <c r="H17">
        <v>3.5056306569930999</v>
      </c>
      <c r="I17">
        <v>3.6182943565948</v>
      </c>
      <c r="J17">
        <v>3.6777255050459101</v>
      </c>
      <c r="K17">
        <v>3.7092083003955501</v>
      </c>
      <c r="L17">
        <v>3.7256219516437898</v>
      </c>
      <c r="M17">
        <v>3.7256219516437898</v>
      </c>
      <c r="N17" s="20" t="s">
        <v>41</v>
      </c>
      <c r="O17" s="6" t="str">
        <f t="shared" si="0"/>
        <v>comm refrigerationelectricityrefrigeration hi-eff</v>
      </c>
    </row>
    <row r="18" spans="1:22" s="13" customFormat="1" ht="14" customHeight="1" x14ac:dyDescent="0.2">
      <c r="A18" s="31" t="s">
        <v>57</v>
      </c>
      <c r="B18" s="21" t="s">
        <v>31</v>
      </c>
      <c r="C18" s="21" t="s">
        <v>44</v>
      </c>
      <c r="D18">
        <v>0.32</v>
      </c>
      <c r="E18">
        <v>0.32</v>
      </c>
      <c r="F18">
        <v>0.32</v>
      </c>
      <c r="G18">
        <v>0.32</v>
      </c>
      <c r="H18">
        <v>0.32</v>
      </c>
      <c r="I18">
        <v>0.32</v>
      </c>
      <c r="J18">
        <v>0.32</v>
      </c>
      <c r="K18">
        <v>0.32</v>
      </c>
      <c r="L18">
        <v>0.32</v>
      </c>
      <c r="M18">
        <v>0.32</v>
      </c>
      <c r="N18" s="21" t="s">
        <v>41</v>
      </c>
      <c r="O18" s="6" t="str">
        <f t="shared" si="0"/>
        <v>comm cookinggasgas range</v>
      </c>
      <c r="T18" s="13">
        <f>1/M18</f>
        <v>3.125</v>
      </c>
      <c r="U18" s="13">
        <v>0.05</v>
      </c>
      <c r="V18" s="13">
        <f>1/SUMPRODUCT(T18:T19,U18:U19)</f>
        <v>0.32</v>
      </c>
    </row>
    <row r="19" spans="1:22" s="13" customFormat="1" ht="14" customHeight="1" x14ac:dyDescent="0.2">
      <c r="A19" s="31" t="s">
        <v>57</v>
      </c>
      <c r="B19" s="21" t="s">
        <v>31</v>
      </c>
      <c r="C19" s="21" t="s">
        <v>45</v>
      </c>
      <c r="D19">
        <v>0.32</v>
      </c>
      <c r="E19">
        <v>0.32</v>
      </c>
      <c r="F19">
        <v>0.32</v>
      </c>
      <c r="G19">
        <v>0.32</v>
      </c>
      <c r="H19">
        <v>0.32</v>
      </c>
      <c r="I19">
        <v>0.32</v>
      </c>
      <c r="J19">
        <v>0.32</v>
      </c>
      <c r="K19">
        <v>0.32</v>
      </c>
      <c r="L19">
        <v>0.32</v>
      </c>
      <c r="M19">
        <v>0.32</v>
      </c>
      <c r="N19" s="21" t="s">
        <v>41</v>
      </c>
      <c r="O19" s="6" t="str">
        <f t="shared" si="0"/>
        <v>comm cookinggasgas range hi-eff</v>
      </c>
      <c r="T19" s="13">
        <f>1/M19</f>
        <v>3.125</v>
      </c>
      <c r="U19" s="13">
        <f>1-U18</f>
        <v>0.95</v>
      </c>
    </row>
    <row r="20" spans="1:22" s="13" customFormat="1" ht="14" customHeight="1" x14ac:dyDescent="0.2">
      <c r="A20" s="31" t="s">
        <v>57</v>
      </c>
      <c r="B20" s="21" t="s">
        <v>7</v>
      </c>
      <c r="C20" s="21" t="s">
        <v>46</v>
      </c>
      <c r="D20">
        <v>0.69077982286194906</v>
      </c>
      <c r="E20">
        <v>0.69077982286194906</v>
      </c>
      <c r="F20">
        <v>0.69077982286194906</v>
      </c>
      <c r="G20">
        <v>0.69431653836021201</v>
      </c>
      <c r="H20">
        <v>0.69651798492260197</v>
      </c>
      <c r="I20">
        <v>0.69786625672374603</v>
      </c>
      <c r="J20">
        <v>0.69868437720682597</v>
      </c>
      <c r="K20">
        <v>0.69919014183422501</v>
      </c>
      <c r="L20">
        <v>0.69950192680165002</v>
      </c>
      <c r="M20">
        <v>0.69950192680165002</v>
      </c>
      <c r="N20" s="21" t="s">
        <v>41</v>
      </c>
      <c r="O20" s="6" t="str">
        <f t="shared" si="0"/>
        <v>comm cookingelectricityelectric range</v>
      </c>
    </row>
    <row r="21" spans="1:22" s="13" customFormat="1" ht="14" customHeight="1" x14ac:dyDescent="0.2">
      <c r="A21" s="31" t="s">
        <v>57</v>
      </c>
      <c r="B21" s="21" t="s">
        <v>7</v>
      </c>
      <c r="C21" s="21" t="s">
        <v>47</v>
      </c>
      <c r="D21">
        <v>0.69077982286194906</v>
      </c>
      <c r="E21">
        <v>0.69077982286194906</v>
      </c>
      <c r="F21">
        <v>0.69077982286194906</v>
      </c>
      <c r="G21">
        <v>0.69431653836021201</v>
      </c>
      <c r="H21">
        <v>0.69651798492260197</v>
      </c>
      <c r="I21">
        <v>0.69786625672374603</v>
      </c>
      <c r="J21">
        <v>0.69868437720682597</v>
      </c>
      <c r="K21">
        <v>0.69919014183422501</v>
      </c>
      <c r="L21">
        <v>0.69950192680165002</v>
      </c>
      <c r="M21">
        <v>0.69950192680165002</v>
      </c>
      <c r="N21" s="21" t="s">
        <v>41</v>
      </c>
      <c r="O21" s="6" t="str">
        <f t="shared" si="0"/>
        <v>comm cookingelectricityelectric range hi-eff</v>
      </c>
    </row>
    <row r="22" spans="1:22" s="13" customFormat="1" ht="14" customHeight="1" x14ac:dyDescent="0.2">
      <c r="A22" s="30" t="s">
        <v>58</v>
      </c>
      <c r="B22" s="20" t="s">
        <v>7</v>
      </c>
      <c r="C22" s="20" t="s">
        <v>29</v>
      </c>
      <c r="D22" s="12">
        <f>D29*1000/1000000/0.0036</f>
        <v>11.555555555555555</v>
      </c>
      <c r="E22" s="12">
        <f t="shared" ref="E22:M22" si="1">E29*1000/1000000/0.0036</f>
        <v>11.555555555555555</v>
      </c>
      <c r="F22" s="12">
        <f t="shared" si="1"/>
        <v>11.555555555555555</v>
      </c>
      <c r="G22" s="12">
        <f t="shared" si="1"/>
        <v>11.555555555555555</v>
      </c>
      <c r="H22" s="12">
        <f t="shared" si="1"/>
        <v>11.555555555555555</v>
      </c>
      <c r="I22" s="12">
        <f t="shared" si="1"/>
        <v>11.555555555555555</v>
      </c>
      <c r="J22" s="12">
        <f t="shared" si="1"/>
        <v>11.555555555555555</v>
      </c>
      <c r="K22" s="12">
        <f t="shared" si="1"/>
        <v>11.555555555555555</v>
      </c>
      <c r="L22" s="12">
        <f t="shared" si="1"/>
        <v>11.555555555555555</v>
      </c>
      <c r="M22" s="2">
        <f t="shared" si="1"/>
        <v>11.555555555555555</v>
      </c>
      <c r="N22" s="20" t="s">
        <v>103</v>
      </c>
      <c r="O22" s="6" t="str">
        <f t="shared" si="0"/>
        <v>comm lightingelectricityincandescent</v>
      </c>
    </row>
    <row r="23" spans="1:22" s="13" customFormat="1" ht="14" customHeight="1" x14ac:dyDescent="0.2">
      <c r="A23" s="30" t="s">
        <v>58</v>
      </c>
      <c r="B23" s="20" t="s">
        <v>7</v>
      </c>
      <c r="C23" s="20" t="s">
        <v>28</v>
      </c>
      <c r="D23" s="12">
        <f t="shared" ref="D23:M24" si="2">D30*1000/1000000/0.0036</f>
        <v>24.888888888888889</v>
      </c>
      <c r="E23" s="12">
        <f t="shared" si="2"/>
        <v>24.888888888888889</v>
      </c>
      <c r="F23" s="12">
        <f t="shared" si="2"/>
        <v>24.888888888888889</v>
      </c>
      <c r="G23" s="12">
        <f t="shared" si="2"/>
        <v>24.888888888888889</v>
      </c>
      <c r="H23" s="12">
        <f t="shared" si="2"/>
        <v>24.888888888888889</v>
      </c>
      <c r="I23" s="12">
        <f t="shared" si="2"/>
        <v>24.888888888888889</v>
      </c>
      <c r="J23" s="12">
        <f>J30*1000/1000000/0.0036</f>
        <v>24.888888888888889</v>
      </c>
      <c r="K23" s="12">
        <f t="shared" si="2"/>
        <v>24.888888888888889</v>
      </c>
      <c r="L23" s="12">
        <f t="shared" si="2"/>
        <v>24.888888888888889</v>
      </c>
      <c r="M23" s="2">
        <f t="shared" si="2"/>
        <v>24.888888888888889</v>
      </c>
      <c r="N23" s="20" t="s">
        <v>103</v>
      </c>
      <c r="O23" s="6" t="str">
        <f t="shared" si="0"/>
        <v>comm lightingelectricityfluorescent</v>
      </c>
    </row>
    <row r="24" spans="1:22" s="13" customFormat="1" ht="14" customHeight="1" x14ac:dyDescent="0.2">
      <c r="A24" s="30" t="s">
        <v>58</v>
      </c>
      <c r="B24" s="20" t="s">
        <v>7</v>
      </c>
      <c r="C24" s="20" t="s">
        <v>30</v>
      </c>
      <c r="D24" s="12">
        <f t="shared" si="2"/>
        <v>40.69312685146916</v>
      </c>
      <c r="E24" s="12">
        <f t="shared" si="2"/>
        <v>40.69312685146916</v>
      </c>
      <c r="F24" s="12">
        <f t="shared" si="2"/>
        <v>40.69312685146916</v>
      </c>
      <c r="G24" s="12">
        <f t="shared" si="2"/>
        <v>43.716368449841944</v>
      </c>
      <c r="H24" s="12">
        <f t="shared" si="2"/>
        <v>47.128259481631943</v>
      </c>
      <c r="I24" s="12">
        <f t="shared" si="2"/>
        <v>55.066901328082224</v>
      </c>
      <c r="J24" s="12">
        <f t="shared" si="2"/>
        <v>58.468306798083894</v>
      </c>
      <c r="K24" s="12">
        <f t="shared" si="2"/>
        <v>61.16707997467028</v>
      </c>
      <c r="L24" s="12">
        <f t="shared" si="2"/>
        <v>62.483106308812225</v>
      </c>
      <c r="M24" s="2">
        <f t="shared" si="2"/>
        <v>62.483106308812225</v>
      </c>
      <c r="N24" s="20" t="s">
        <v>103</v>
      </c>
      <c r="O24" s="6" t="str">
        <f t="shared" si="0"/>
        <v>comm lightingelectricitysolid state</v>
      </c>
    </row>
    <row r="25" spans="1:22" s="13" customFormat="1" ht="14" customHeight="1" x14ac:dyDescent="0.2">
      <c r="A25" s="28" t="s">
        <v>56</v>
      </c>
      <c r="B25" s="18" t="s">
        <v>7</v>
      </c>
      <c r="C25" s="18" t="s">
        <v>39</v>
      </c>
      <c r="D25" s="11">
        <f>D32*60*0.02831*1000000/1.0551/1000000</f>
        <v>0.96304179351759167</v>
      </c>
      <c r="E25" s="11">
        <f t="shared" ref="E25:M25" si="3">E32*60*0.02831*1000000/1.0551/1000000</f>
        <v>0.96304179351759167</v>
      </c>
      <c r="F25" s="11">
        <f t="shared" si="3"/>
        <v>0.96304179351759167</v>
      </c>
      <c r="G25" s="11">
        <f t="shared" si="3"/>
        <v>1.1507460998837373</v>
      </c>
      <c r="H25" s="11">
        <f t="shared" si="3"/>
        <v>1.5005153698188218</v>
      </c>
      <c r="I25" s="11">
        <f t="shared" si="3"/>
        <v>1.7534076624425978</v>
      </c>
      <c r="J25" s="11">
        <f t="shared" si="3"/>
        <v>1.9374431591030892</v>
      </c>
      <c r="K25" s="11">
        <f t="shared" si="3"/>
        <v>2.1175775203712273</v>
      </c>
      <c r="L25" s="11">
        <f t="shared" si="3"/>
        <v>2.2415897250154719</v>
      </c>
      <c r="M25" s="4">
        <f t="shared" si="3"/>
        <v>2.2415897250154719</v>
      </c>
      <c r="N25" s="18" t="s">
        <v>124</v>
      </c>
      <c r="O25" s="6" t="str">
        <f t="shared" si="0"/>
        <v>comm ventilationelectricityventilation</v>
      </c>
    </row>
    <row r="26" spans="1:22" s="13" customFormat="1" ht="14" customHeight="1" x14ac:dyDescent="0.2">
      <c r="A26" s="28" t="s">
        <v>56</v>
      </c>
      <c r="B26" s="18" t="s">
        <v>7</v>
      </c>
      <c r="C26" s="18" t="s">
        <v>40</v>
      </c>
      <c r="D26" s="11">
        <f>D33*60*0.02831*1000000/1.0551/1000000</f>
        <v>1.1321748772835736</v>
      </c>
      <c r="E26" s="11">
        <f t="shared" ref="E26:M26" si="4">E33*60*0.02831*1000000/1.0551/1000000</f>
        <v>1.1321748772835736</v>
      </c>
      <c r="F26" s="11">
        <f t="shared" si="4"/>
        <v>1.1321748772835736</v>
      </c>
      <c r="G26" s="11">
        <f t="shared" si="4"/>
        <v>1.3198791836497192</v>
      </c>
      <c r="H26" s="11">
        <f t="shared" si="4"/>
        <v>1.6696484535848022</v>
      </c>
      <c r="I26" s="11">
        <f t="shared" si="4"/>
        <v>1.9225407462085844</v>
      </c>
      <c r="J26" s="11">
        <f t="shared" si="4"/>
        <v>2.106576242869076</v>
      </c>
      <c r="K26" s="11">
        <f t="shared" si="4"/>
        <v>2.286710604137197</v>
      </c>
      <c r="L26" s="11">
        <f t="shared" si="4"/>
        <v>2.4107228087814421</v>
      </c>
      <c r="M26" s="4">
        <f t="shared" si="4"/>
        <v>2.4107228087814421</v>
      </c>
      <c r="N26" s="18" t="s">
        <v>124</v>
      </c>
      <c r="O26" s="6" t="str">
        <f t="shared" si="0"/>
        <v>comm ventilationelectricityventilation hi-eff</v>
      </c>
    </row>
    <row r="28" spans="1:22" x14ac:dyDescent="0.2">
      <c r="A28" t="s">
        <v>123</v>
      </c>
    </row>
    <row r="29" spans="1:22" x14ac:dyDescent="0.2">
      <c r="A29" s="42" t="s">
        <v>58</v>
      </c>
      <c r="B29" s="43" t="s">
        <v>7</v>
      </c>
      <c r="C29" s="43" t="s">
        <v>29</v>
      </c>
      <c r="D29">
        <v>41.6</v>
      </c>
      <c r="E29">
        <v>41.6</v>
      </c>
      <c r="F29">
        <v>41.6</v>
      </c>
      <c r="G29">
        <v>41.6</v>
      </c>
      <c r="H29">
        <v>41.6</v>
      </c>
      <c r="I29">
        <v>41.6</v>
      </c>
      <c r="J29">
        <v>41.6</v>
      </c>
      <c r="K29">
        <v>41.6</v>
      </c>
      <c r="L29">
        <v>41.6</v>
      </c>
      <c r="M29">
        <v>41.6</v>
      </c>
      <c r="N29" s="43" t="s">
        <v>42</v>
      </c>
      <c r="P29">
        <f>1/M29</f>
        <v>2.4038461538461536E-2</v>
      </c>
      <c r="Q29">
        <v>0.01</v>
      </c>
      <c r="R29">
        <f>1/SUMPRODUCT(P29:P31,Q29:Q31)</f>
        <v>206.48246331553767</v>
      </c>
    </row>
    <row r="30" spans="1:22" x14ac:dyDescent="0.2">
      <c r="A30" s="42" t="s">
        <v>58</v>
      </c>
      <c r="B30" s="43" t="s">
        <v>7</v>
      </c>
      <c r="C30" s="43" t="s">
        <v>28</v>
      </c>
      <c r="D30">
        <v>89.6</v>
      </c>
      <c r="E30">
        <v>89.6</v>
      </c>
      <c r="F30">
        <v>89.6</v>
      </c>
      <c r="G30">
        <v>89.6</v>
      </c>
      <c r="H30">
        <v>89.6</v>
      </c>
      <c r="I30">
        <v>89.6</v>
      </c>
      <c r="J30">
        <v>89.6</v>
      </c>
      <c r="K30">
        <v>89.6</v>
      </c>
      <c r="L30">
        <v>89.6</v>
      </c>
      <c r="M30">
        <v>89.6</v>
      </c>
      <c r="N30" s="43" t="s">
        <v>42</v>
      </c>
      <c r="P30">
        <f>1/M30</f>
        <v>1.1160714285714286E-2</v>
      </c>
      <c r="Q30">
        <v>0.03</v>
      </c>
    </row>
    <row r="31" spans="1:22" x14ac:dyDescent="0.2">
      <c r="A31" s="42" t="s">
        <v>58</v>
      </c>
      <c r="B31" s="43" t="s">
        <v>7</v>
      </c>
      <c r="C31" s="43" t="s">
        <v>30</v>
      </c>
      <c r="D31">
        <v>146.49525666528899</v>
      </c>
      <c r="E31">
        <v>146.49525666528899</v>
      </c>
      <c r="F31">
        <v>146.49525666528899</v>
      </c>
      <c r="G31">
        <v>157.378926419431</v>
      </c>
      <c r="H31">
        <v>169.661734133875</v>
      </c>
      <c r="I31">
        <v>198.240844781096</v>
      </c>
      <c r="J31">
        <v>210.48590447310201</v>
      </c>
      <c r="K31">
        <v>220.20148790881299</v>
      </c>
      <c r="L31">
        <v>224.93918271172399</v>
      </c>
      <c r="M31">
        <v>224.93918271172399</v>
      </c>
      <c r="N31" s="43" t="s">
        <v>42</v>
      </c>
      <c r="P31">
        <f>1/M31</f>
        <v>4.4456460984015093E-3</v>
      </c>
      <c r="Q31">
        <f>1-SUM(Q29:Q30)</f>
        <v>0.96</v>
      </c>
    </row>
    <row r="32" spans="1:22" x14ac:dyDescent="0.2">
      <c r="A32" s="42" t="s">
        <v>56</v>
      </c>
      <c r="B32" s="43" t="s">
        <v>7</v>
      </c>
      <c r="C32" s="43" t="s">
        <v>39</v>
      </c>
      <c r="D32">
        <v>0.59820169335947904</v>
      </c>
      <c r="E32">
        <v>0.59820169335947904</v>
      </c>
      <c r="F32">
        <v>0.59820169335947904</v>
      </c>
      <c r="G32">
        <v>0.71479583774127597</v>
      </c>
      <c r="H32">
        <v>0.93205802819724404</v>
      </c>
      <c r="I32">
        <v>1.0891442509379401</v>
      </c>
      <c r="J32">
        <v>1.2034594826149001</v>
      </c>
      <c r="K32">
        <v>1.31535149048845</v>
      </c>
      <c r="L32">
        <v>1.3923827380571201</v>
      </c>
      <c r="M32">
        <v>1.3923827380571201</v>
      </c>
      <c r="N32" s="43" t="s">
        <v>125</v>
      </c>
    </row>
    <row r="33" spans="1:14" x14ac:dyDescent="0.2">
      <c r="A33" s="42" t="s">
        <v>56</v>
      </c>
      <c r="B33" s="43" t="s">
        <v>7</v>
      </c>
      <c r="C33" s="43" t="s">
        <v>40</v>
      </c>
      <c r="D33">
        <v>0.70326016308836603</v>
      </c>
      <c r="E33">
        <v>0.70326016308836603</v>
      </c>
      <c r="F33">
        <v>0.70326016308836603</v>
      </c>
      <c r="G33">
        <v>0.81985430747016297</v>
      </c>
      <c r="H33">
        <v>1.03711649792613</v>
      </c>
      <c r="I33">
        <v>1.19420272066683</v>
      </c>
      <c r="J33">
        <v>1.30851795234379</v>
      </c>
      <c r="K33">
        <v>1.4204099602173299</v>
      </c>
      <c r="L33">
        <v>1.497441207786</v>
      </c>
      <c r="M33">
        <v>1.497441207786</v>
      </c>
      <c r="N33" s="43" t="s">
        <v>125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4"/>
  <sheetViews>
    <sheetView zoomScale="115" zoomScaleNormal="115" workbookViewId="0">
      <selection activeCell="F18" sqref="F18"/>
    </sheetView>
  </sheetViews>
  <sheetFormatPr baseColWidth="10" defaultColWidth="11.5" defaultRowHeight="15" x14ac:dyDescent="0.2"/>
  <cols>
    <col min="1" max="1" width="17.33203125" bestFit="1" customWidth="1"/>
    <col min="2" max="2" width="12" bestFit="1" customWidth="1"/>
    <col min="3" max="3" width="29.33203125" bestFit="1" customWidth="1"/>
  </cols>
  <sheetData>
    <row r="1" spans="1:14" x14ac:dyDescent="0.2">
      <c r="A1" t="s">
        <v>131</v>
      </c>
    </row>
    <row r="2" spans="1:14" x14ac:dyDescent="0.2">
      <c r="A2" t="s">
        <v>50</v>
      </c>
      <c r="B2" t="s">
        <v>51</v>
      </c>
      <c r="C2" t="s">
        <v>52</v>
      </c>
      <c r="D2" s="64">
        <v>1971</v>
      </c>
      <c r="E2">
        <v>2010</v>
      </c>
      <c r="F2">
        <v>2015</v>
      </c>
      <c r="G2">
        <v>2020</v>
      </c>
      <c r="H2">
        <v>2025</v>
      </c>
      <c r="I2">
        <v>2030</v>
      </c>
      <c r="J2">
        <v>2035</v>
      </c>
      <c r="K2">
        <v>2040</v>
      </c>
      <c r="L2">
        <v>2045</v>
      </c>
      <c r="M2">
        <v>2050</v>
      </c>
      <c r="N2">
        <v>2100</v>
      </c>
    </row>
    <row r="3" spans="1:14" x14ac:dyDescent="0.2">
      <c r="A3" t="s">
        <v>70</v>
      </c>
      <c r="B3" t="s">
        <v>105</v>
      </c>
      <c r="C3" t="s">
        <v>106</v>
      </c>
      <c r="D3" s="64">
        <f t="shared" ref="D3:D4" si="0">E3</f>
        <v>1.355</v>
      </c>
      <c r="E3">
        <v>1.355</v>
      </c>
      <c r="F3">
        <v>1.335</v>
      </c>
      <c r="G3">
        <v>1.3149999999999999</v>
      </c>
      <c r="H3">
        <v>1.3149999999999999</v>
      </c>
      <c r="I3">
        <v>1.3149999999999999</v>
      </c>
      <c r="J3">
        <v>1.2949999999999999</v>
      </c>
      <c r="K3">
        <v>1.276</v>
      </c>
      <c r="L3">
        <f>K3</f>
        <v>1.276</v>
      </c>
      <c r="M3">
        <f>L3</f>
        <v>1.276</v>
      </c>
      <c r="N3">
        <v>1.238</v>
      </c>
    </row>
    <row r="4" spans="1:14" x14ac:dyDescent="0.2">
      <c r="A4" t="s">
        <v>70</v>
      </c>
      <c r="B4" t="s">
        <v>107</v>
      </c>
      <c r="C4" t="s">
        <v>108</v>
      </c>
      <c r="D4" s="64">
        <f t="shared" si="0"/>
        <v>1.355</v>
      </c>
      <c r="E4">
        <v>1.355</v>
      </c>
      <c r="F4">
        <v>1.335</v>
      </c>
      <c r="G4">
        <v>1.3149999999999999</v>
      </c>
      <c r="H4">
        <v>1.3149999999999999</v>
      </c>
      <c r="I4">
        <v>1.3149999999999999</v>
      </c>
      <c r="J4">
        <v>1.2949999999999999</v>
      </c>
      <c r="K4">
        <v>1.276</v>
      </c>
      <c r="L4">
        <f>K4</f>
        <v>1.276</v>
      </c>
      <c r="M4">
        <f>L4</f>
        <v>1.276</v>
      </c>
      <c r="N4">
        <v>1.238</v>
      </c>
    </row>
    <row r="5" spans="1:14" x14ac:dyDescent="0.2">
      <c r="A5" t="s">
        <v>70</v>
      </c>
      <c r="B5" t="s">
        <v>31</v>
      </c>
      <c r="C5" t="s">
        <v>15</v>
      </c>
      <c r="D5" s="65">
        <f>E5</f>
        <v>2.6710808958830743</v>
      </c>
      <c r="E5" s="66">
        <f>INDEX(res_cost!$T$3:$AC$35,MATCH($A5&amp;$B5&amp;$C5,res_cost!$AE$3:$AE$35,0),MATCH(E$2,res_cost!$T$2:$AC$2,0))</f>
        <v>2.6710808958830743</v>
      </c>
      <c r="F5" s="66">
        <f>INDEX(res_cost!$T$3:$AC$35,MATCH($A5&amp;$B5&amp;$C5,res_cost!$AE$3:$AE$35,0),MATCH(F$2,res_cost!$T$2:$AC$2,0))</f>
        <v>2.6710808958830743</v>
      </c>
      <c r="G5" s="66">
        <f>INDEX(res_cost!$T$3:$AC$35,MATCH($A5&amp;$B5&amp;$C5,res_cost!$AE$3:$AE$35,0),MATCH(G$2,res_cost!$T$2:$AC$2,0))</f>
        <v>2.6710808958830743</v>
      </c>
      <c r="H5" s="66">
        <f>INDEX(res_cost!$T$3:$AC$35,MATCH($A5&amp;$B5&amp;$C5,res_cost!$AE$3:$AE$35,0),MATCH(H$2,res_cost!$T$2:$AC$2,0))</f>
        <v>2.6710808958830743</v>
      </c>
      <c r="I5" s="66">
        <f>INDEX(res_cost!$T$3:$AC$35,MATCH($A5&amp;$B5&amp;$C5,res_cost!$AE$3:$AE$35,0),MATCH(I$2,res_cost!$T$2:$AC$2,0))</f>
        <v>2.6710808958830743</v>
      </c>
      <c r="J5" s="66">
        <f>INDEX(res_cost!$T$3:$AC$35,MATCH($A5&amp;$B5&amp;$C5,res_cost!$AE$3:$AE$35,0),MATCH(J$2,res_cost!$T$2:$AC$2,0))</f>
        <v>2.6710808958830743</v>
      </c>
      <c r="K5" s="66">
        <f>INDEX(res_cost!$T$3:$AC$35,MATCH($A5&amp;$B5&amp;$C5,res_cost!$AE$3:$AE$35,0),MATCH(K$2,res_cost!$T$2:$AC$2,0))</f>
        <v>2.6710808958830743</v>
      </c>
      <c r="L5" s="66">
        <f>INDEX(res_cost!$T$3:$AC$35,MATCH($A5&amp;$B5&amp;$C5,res_cost!$AE$3:$AE$35,0),MATCH(L$2,res_cost!$T$2:$AC$2,0))</f>
        <v>2.6710808958830743</v>
      </c>
      <c r="M5" s="66">
        <f>INDEX(res_cost!$T$3:$AC$35,MATCH($A5&amp;$B5&amp;$C5,res_cost!$AE$3:$AE$35,0),MATCH(M$2,res_cost!$T$2:$AC$2,0))</f>
        <v>2.6710808958830743</v>
      </c>
      <c r="N5" s="66">
        <f>INDEX(res_cost!$T$3:$AC$35,MATCH($A5&amp;$B5&amp;$C5,res_cost!$AE$3:$AE$35,0),MATCH(N$2,res_cost!$T$2:$AC$2,0))</f>
        <v>2.6710808958830743</v>
      </c>
    </row>
    <row r="6" spans="1:14" x14ac:dyDescent="0.2">
      <c r="A6" t="s">
        <v>70</v>
      </c>
      <c r="B6" t="s">
        <v>31</v>
      </c>
      <c r="C6" t="s">
        <v>16</v>
      </c>
      <c r="D6" s="65">
        <f t="shared" ref="D6:D70" si="1">E6</f>
        <v>2.8534377728820863</v>
      </c>
      <c r="E6" s="66">
        <f>INDEX(res_cost!$T$3:$AC$35,MATCH($A6&amp;$B6&amp;$C6,res_cost!$AE$3:$AE$35,0),MATCH(E$2,res_cost!$T$2:$AC$2,0))</f>
        <v>2.8534377728820863</v>
      </c>
      <c r="F6" s="66">
        <f>INDEX(res_cost!$T$3:$AC$35,MATCH($A6&amp;$B6&amp;$C6,res_cost!$AE$3:$AE$35,0),MATCH(F$2,res_cost!$T$2:$AC$2,0))</f>
        <v>2.8534377728820863</v>
      </c>
      <c r="G6" s="66">
        <f>INDEX(res_cost!$T$3:$AC$35,MATCH($A6&amp;$B6&amp;$C6,res_cost!$AE$3:$AE$35,0),MATCH(G$2,res_cost!$T$2:$AC$2,0))</f>
        <v>2.8534377728820863</v>
      </c>
      <c r="H6" s="66">
        <f>INDEX(res_cost!$T$3:$AC$35,MATCH($A6&amp;$B6&amp;$C6,res_cost!$AE$3:$AE$35,0),MATCH(H$2,res_cost!$T$2:$AC$2,0))</f>
        <v>2.8534377728820863</v>
      </c>
      <c r="I6" s="66">
        <f>INDEX(res_cost!$T$3:$AC$35,MATCH($A6&amp;$B6&amp;$C6,res_cost!$AE$3:$AE$35,0),MATCH(I$2,res_cost!$T$2:$AC$2,0))</f>
        <v>2.8534377728820863</v>
      </c>
      <c r="J6" s="66">
        <f>INDEX(res_cost!$T$3:$AC$35,MATCH($A6&amp;$B6&amp;$C6,res_cost!$AE$3:$AE$35,0),MATCH(J$2,res_cost!$T$2:$AC$2,0))</f>
        <v>2.8534377728820863</v>
      </c>
      <c r="K6" s="66">
        <f>INDEX(res_cost!$T$3:$AC$35,MATCH($A6&amp;$B6&amp;$C6,res_cost!$AE$3:$AE$35,0),MATCH(K$2,res_cost!$T$2:$AC$2,0))</f>
        <v>2.8534377728820863</v>
      </c>
      <c r="L6" s="66">
        <f>INDEX(res_cost!$T$3:$AC$35,MATCH($A6&amp;$B6&amp;$C6,res_cost!$AE$3:$AE$35,0),MATCH(L$2,res_cost!$T$2:$AC$2,0))</f>
        <v>2.8534377728820863</v>
      </c>
      <c r="M6" s="66">
        <f>INDEX(res_cost!$T$3:$AC$35,MATCH($A6&amp;$B6&amp;$C6,res_cost!$AE$3:$AE$35,0),MATCH(M$2,res_cost!$T$2:$AC$2,0))</f>
        <v>2.8534377728820863</v>
      </c>
      <c r="N6" s="66">
        <f>INDEX(res_cost!$T$3:$AC$35,MATCH($A6&amp;$B6&amp;$C6,res_cost!$AE$3:$AE$35,0),MATCH(N$2,res_cost!$T$2:$AC$2,0))</f>
        <v>2.8534377728820863</v>
      </c>
    </row>
    <row r="7" spans="1:14" x14ac:dyDescent="0.2">
      <c r="A7" t="s">
        <v>70</v>
      </c>
      <c r="B7" t="s">
        <v>7</v>
      </c>
      <c r="C7" t="s">
        <v>17</v>
      </c>
      <c r="D7" s="65">
        <f t="shared" si="1"/>
        <v>1.1764548538869175</v>
      </c>
      <c r="E7" s="66">
        <f>INDEX(res_cost!$T$3:$AC$35,MATCH($A7&amp;$B7&amp;$C7,res_cost!$AE$3:$AE$35,0),MATCH(E$2,res_cost!$T$2:$AC$2,0))</f>
        <v>1.1764548538869175</v>
      </c>
      <c r="F7" s="66">
        <f>INDEX(res_cost!$T$3:$AC$35,MATCH($A7&amp;$B7&amp;$C7,res_cost!$AE$3:$AE$35,0),MATCH(F$2,res_cost!$T$2:$AC$2,0))</f>
        <v>1.1764548538869175</v>
      </c>
      <c r="G7" s="66">
        <f>INDEX(res_cost!$T$3:$AC$35,MATCH($A7&amp;$B7&amp;$C7,res_cost!$AE$3:$AE$35,0),MATCH(G$2,res_cost!$T$2:$AC$2,0))</f>
        <v>1.1764548538869175</v>
      </c>
      <c r="H7" s="66">
        <f>INDEX(res_cost!$T$3:$AC$35,MATCH($A7&amp;$B7&amp;$C7,res_cost!$AE$3:$AE$35,0),MATCH(H$2,res_cost!$T$2:$AC$2,0))</f>
        <v>1.1764548538869175</v>
      </c>
      <c r="I7" s="66">
        <f>INDEX(res_cost!$T$3:$AC$35,MATCH($A7&amp;$B7&amp;$C7,res_cost!$AE$3:$AE$35,0),MATCH(I$2,res_cost!$T$2:$AC$2,0))</f>
        <v>1.1764548538869175</v>
      </c>
      <c r="J7" s="66">
        <f>INDEX(res_cost!$T$3:$AC$35,MATCH($A7&amp;$B7&amp;$C7,res_cost!$AE$3:$AE$35,0),MATCH(J$2,res_cost!$T$2:$AC$2,0))</f>
        <v>1.1764548538869175</v>
      </c>
      <c r="K7" s="66">
        <f>INDEX(res_cost!$T$3:$AC$35,MATCH($A7&amp;$B7&amp;$C7,res_cost!$AE$3:$AE$35,0),MATCH(K$2,res_cost!$T$2:$AC$2,0))</f>
        <v>1.1764548538869175</v>
      </c>
      <c r="L7" s="66">
        <f>INDEX(res_cost!$T$3:$AC$35,MATCH($A7&amp;$B7&amp;$C7,res_cost!$AE$3:$AE$35,0),MATCH(L$2,res_cost!$T$2:$AC$2,0))</f>
        <v>1.1764548538869175</v>
      </c>
      <c r="M7" s="66">
        <f>INDEX(res_cost!$T$3:$AC$35,MATCH($A7&amp;$B7&amp;$C7,res_cost!$AE$3:$AE$35,0),MATCH(M$2,res_cost!$T$2:$AC$2,0))</f>
        <v>1.1764548538869175</v>
      </c>
      <c r="N7" s="66">
        <f>INDEX(res_cost!$T$3:$AC$35,MATCH($A7&amp;$B7&amp;$C7,res_cost!$AE$3:$AE$35,0),MATCH(N$2,res_cost!$T$2:$AC$2,0))</f>
        <v>1.1764548538869175</v>
      </c>
    </row>
    <row r="8" spans="1:14" x14ac:dyDescent="0.2">
      <c r="A8" t="s">
        <v>70</v>
      </c>
      <c r="B8" t="s">
        <v>7</v>
      </c>
      <c r="C8" t="s">
        <v>18</v>
      </c>
      <c r="D8" s="65">
        <f t="shared" si="1"/>
        <v>6.5239769170092687</v>
      </c>
      <c r="E8" s="66">
        <f>INDEX(res_cost!$T$3:$AC$35,MATCH($A8&amp;$B8&amp;$C8,res_cost!$AE$3:$AE$35,0),MATCH(E$2,res_cost!$T$2:$AC$2,0))</f>
        <v>6.5239769170092687</v>
      </c>
      <c r="F8" s="66">
        <f>INDEX(res_cost!$T$3:$AC$35,MATCH($A8&amp;$B8&amp;$C8,res_cost!$AE$3:$AE$35,0),MATCH(F$2,res_cost!$T$2:$AC$2,0))</f>
        <v>6.5239769170092687</v>
      </c>
      <c r="G8" s="66">
        <f>INDEX(res_cost!$T$3:$AC$35,MATCH($A8&amp;$B8&amp;$C8,res_cost!$AE$3:$AE$35,0),MATCH(G$2,res_cost!$T$2:$AC$2,0))</f>
        <v>6.5239769170092687</v>
      </c>
      <c r="H8" s="66">
        <f>INDEX(res_cost!$T$3:$AC$35,MATCH($A8&amp;$B8&amp;$C8,res_cost!$AE$3:$AE$35,0),MATCH(H$2,res_cost!$T$2:$AC$2,0))</f>
        <v>6.5239769170092687</v>
      </c>
      <c r="I8" s="66">
        <f>INDEX(res_cost!$T$3:$AC$35,MATCH($A8&amp;$B8&amp;$C8,res_cost!$AE$3:$AE$35,0),MATCH(I$2,res_cost!$T$2:$AC$2,0))</f>
        <v>6.5239769170092687</v>
      </c>
      <c r="J8" s="66">
        <f>INDEX(res_cost!$T$3:$AC$35,MATCH($A8&amp;$B8&amp;$C8,res_cost!$AE$3:$AE$35,0),MATCH(J$2,res_cost!$T$2:$AC$2,0))</f>
        <v>6.5239769170092687</v>
      </c>
      <c r="K8" s="66">
        <f>INDEX(res_cost!$T$3:$AC$35,MATCH($A8&amp;$B8&amp;$C8,res_cost!$AE$3:$AE$35,0),MATCH(K$2,res_cost!$T$2:$AC$2,0))</f>
        <v>6.5239769170092687</v>
      </c>
      <c r="L8" s="66">
        <f>INDEX(res_cost!$T$3:$AC$35,MATCH($A8&amp;$B8&amp;$C8,res_cost!$AE$3:$AE$35,0),MATCH(L$2,res_cost!$T$2:$AC$2,0))</f>
        <v>6.5239769170092687</v>
      </c>
      <c r="M8" s="66">
        <f>INDEX(res_cost!$T$3:$AC$35,MATCH($A8&amp;$B8&amp;$C8,res_cost!$AE$3:$AE$35,0),MATCH(M$2,res_cost!$T$2:$AC$2,0))</f>
        <v>6.5239769170092687</v>
      </c>
      <c r="N8" s="66">
        <f>INDEX(res_cost!$T$3:$AC$35,MATCH($A8&amp;$B8&amp;$C8,res_cost!$AE$3:$AE$35,0),MATCH(N$2,res_cost!$T$2:$AC$2,0))</f>
        <v>6.5239769170092687</v>
      </c>
    </row>
    <row r="9" spans="1:14" x14ac:dyDescent="0.2">
      <c r="A9" t="s">
        <v>70</v>
      </c>
      <c r="B9" t="s">
        <v>8</v>
      </c>
      <c r="C9" t="s">
        <v>19</v>
      </c>
      <c r="D9" s="65">
        <f t="shared" si="1"/>
        <v>4.5186561433383865</v>
      </c>
      <c r="E9" s="66">
        <f>INDEX(res_cost!$T$3:$AC$35,MATCH($A9&amp;$B9&amp;$C9,res_cost!$AE$3:$AE$35,0),MATCH(E$2,res_cost!$T$2:$AC$2,0))</f>
        <v>4.5186561433383865</v>
      </c>
      <c r="F9" s="66">
        <f>INDEX(res_cost!$T$3:$AC$35,MATCH($A9&amp;$B9&amp;$C9,res_cost!$AE$3:$AE$35,0),MATCH(F$2,res_cost!$T$2:$AC$2,0))</f>
        <v>4.5186561433383865</v>
      </c>
      <c r="G9" s="66">
        <f>INDEX(res_cost!$T$3:$AC$35,MATCH($A9&amp;$B9&amp;$C9,res_cost!$AE$3:$AE$35,0),MATCH(G$2,res_cost!$T$2:$AC$2,0))</f>
        <v>4.5186561433383865</v>
      </c>
      <c r="H9" s="66">
        <f>INDEX(res_cost!$T$3:$AC$35,MATCH($A9&amp;$B9&amp;$C9,res_cost!$AE$3:$AE$35,0),MATCH(H$2,res_cost!$T$2:$AC$2,0))</f>
        <v>4.5186561433383865</v>
      </c>
      <c r="I9" s="66">
        <f>INDEX(res_cost!$T$3:$AC$35,MATCH($A9&amp;$B9&amp;$C9,res_cost!$AE$3:$AE$35,0),MATCH(I$2,res_cost!$T$2:$AC$2,0))</f>
        <v>4.5186561433383865</v>
      </c>
      <c r="J9" s="66">
        <f>INDEX(res_cost!$T$3:$AC$35,MATCH($A9&amp;$B9&amp;$C9,res_cost!$AE$3:$AE$35,0),MATCH(J$2,res_cost!$T$2:$AC$2,0))</f>
        <v>4.5186561433383865</v>
      </c>
      <c r="K9" s="66">
        <f>INDEX(res_cost!$T$3:$AC$35,MATCH($A9&amp;$B9&amp;$C9,res_cost!$AE$3:$AE$35,0),MATCH(K$2,res_cost!$T$2:$AC$2,0))</f>
        <v>4.5186561433383865</v>
      </c>
      <c r="L9" s="66">
        <f>INDEX(res_cost!$T$3:$AC$35,MATCH($A9&amp;$B9&amp;$C9,res_cost!$AE$3:$AE$35,0),MATCH(L$2,res_cost!$T$2:$AC$2,0))</f>
        <v>4.5186561433383865</v>
      </c>
      <c r="M9" s="66">
        <f>INDEX(res_cost!$T$3:$AC$35,MATCH($A9&amp;$B9&amp;$C9,res_cost!$AE$3:$AE$35,0),MATCH(M$2,res_cost!$T$2:$AC$2,0))</f>
        <v>4.5186561433383865</v>
      </c>
      <c r="N9" s="66">
        <f>INDEX(res_cost!$T$3:$AC$35,MATCH($A9&amp;$B9&amp;$C9,res_cost!$AE$3:$AE$35,0),MATCH(N$2,res_cost!$T$2:$AC$2,0))</f>
        <v>4.5186561433383865</v>
      </c>
    </row>
    <row r="10" spans="1:14" x14ac:dyDescent="0.2">
      <c r="A10" t="s">
        <v>70</v>
      </c>
      <c r="B10" t="s">
        <v>8</v>
      </c>
      <c r="C10" t="s">
        <v>20</v>
      </c>
      <c r="D10" s="65">
        <f t="shared" si="1"/>
        <v>4.6523441949164459</v>
      </c>
      <c r="E10" s="66">
        <f>INDEX(res_cost!$T$3:$AC$35,MATCH($A10&amp;$B10&amp;$C10,res_cost!$AE$3:$AE$35,0),MATCH(E$2,res_cost!$T$2:$AC$2,0))</f>
        <v>4.6523441949164459</v>
      </c>
      <c r="F10" s="66">
        <f>INDEX(res_cost!$T$3:$AC$35,MATCH($A10&amp;$B10&amp;$C10,res_cost!$AE$3:$AE$35,0),MATCH(F$2,res_cost!$T$2:$AC$2,0))</f>
        <v>4.6523441949164459</v>
      </c>
      <c r="G10" s="66">
        <f>INDEX(res_cost!$T$3:$AC$35,MATCH($A10&amp;$B10&amp;$C10,res_cost!$AE$3:$AE$35,0),MATCH(G$2,res_cost!$T$2:$AC$2,0))</f>
        <v>4.6523441949164459</v>
      </c>
      <c r="H10" s="66">
        <f>INDEX(res_cost!$T$3:$AC$35,MATCH($A10&amp;$B10&amp;$C10,res_cost!$AE$3:$AE$35,0),MATCH(H$2,res_cost!$T$2:$AC$2,0))</f>
        <v>4.6523441949164459</v>
      </c>
      <c r="I10" s="66">
        <f>INDEX(res_cost!$T$3:$AC$35,MATCH($A10&amp;$B10&amp;$C10,res_cost!$AE$3:$AE$35,0),MATCH(I$2,res_cost!$T$2:$AC$2,0))</f>
        <v>4.6523441949164459</v>
      </c>
      <c r="J10" s="66">
        <f>INDEX(res_cost!$T$3:$AC$35,MATCH($A10&amp;$B10&amp;$C10,res_cost!$AE$3:$AE$35,0),MATCH(J$2,res_cost!$T$2:$AC$2,0))</f>
        <v>4.6523441949164459</v>
      </c>
      <c r="K10" s="66">
        <f>INDEX(res_cost!$T$3:$AC$35,MATCH($A10&amp;$B10&amp;$C10,res_cost!$AE$3:$AE$35,0),MATCH(K$2,res_cost!$T$2:$AC$2,0))</f>
        <v>4.6523441949164459</v>
      </c>
      <c r="L10" s="66">
        <f>INDEX(res_cost!$T$3:$AC$35,MATCH($A10&amp;$B10&amp;$C10,res_cost!$AE$3:$AE$35,0),MATCH(L$2,res_cost!$T$2:$AC$2,0))</f>
        <v>4.6523441949164459</v>
      </c>
      <c r="M10" s="66">
        <f>INDEX(res_cost!$T$3:$AC$35,MATCH($A10&amp;$B10&amp;$C10,res_cost!$AE$3:$AE$35,0),MATCH(M$2,res_cost!$T$2:$AC$2,0))</f>
        <v>4.6523441949164459</v>
      </c>
      <c r="N10" s="66">
        <f>INDEX(res_cost!$T$3:$AC$35,MATCH($A10&amp;$B10&amp;$C10,res_cost!$AE$3:$AE$35,0),MATCH(N$2,res_cost!$T$2:$AC$2,0))</f>
        <v>4.6523441949164459</v>
      </c>
    </row>
    <row r="11" spans="1:14" x14ac:dyDescent="0.2">
      <c r="A11" t="s">
        <v>71</v>
      </c>
      <c r="B11" t="s">
        <v>7</v>
      </c>
      <c r="C11" t="s">
        <v>9</v>
      </c>
      <c r="D11" s="65">
        <f t="shared" si="1"/>
        <v>8.7007914013768328</v>
      </c>
      <c r="E11" s="66">
        <f>INDEX(res_cost!$T$3:$AC$35,MATCH($A11&amp;$B11&amp;$C11,res_cost!$AE$3:$AE$35,0),MATCH(E$2,res_cost!$T$2:$AC$2,0))</f>
        <v>8.7007914013768328</v>
      </c>
      <c r="F11" s="66">
        <f>INDEX(res_cost!$T$3:$AC$35,MATCH($A11&amp;$B11&amp;$C11,res_cost!$AE$3:$AE$35,0),MATCH(F$2,res_cost!$T$2:$AC$2,0))</f>
        <v>8.7007914013768328</v>
      </c>
      <c r="G11" s="66">
        <f>INDEX(res_cost!$T$3:$AC$35,MATCH($A11&amp;$B11&amp;$C11,res_cost!$AE$3:$AE$35,0),MATCH(G$2,res_cost!$T$2:$AC$2,0))</f>
        <v>8.7007914013768328</v>
      </c>
      <c r="H11" s="66">
        <f>INDEX(res_cost!$T$3:$AC$35,MATCH($A11&amp;$B11&amp;$C11,res_cost!$AE$3:$AE$35,0),MATCH(H$2,res_cost!$T$2:$AC$2,0))</f>
        <v>9.3200561625510616</v>
      </c>
      <c r="I11" s="66">
        <f>INDEX(res_cost!$T$3:$AC$35,MATCH($A11&amp;$B11&amp;$C11,res_cost!$AE$3:$AE$35,0),MATCH(I$2,res_cost!$T$2:$AC$2,0))</f>
        <v>9.3200561625510616</v>
      </c>
      <c r="J11" s="66">
        <f>INDEX(res_cost!$T$3:$AC$35,MATCH($A11&amp;$B11&amp;$C11,res_cost!$AE$3:$AE$35,0),MATCH(J$2,res_cost!$T$2:$AC$2,0))</f>
        <v>9.3200561625510616</v>
      </c>
      <c r="K11" s="66">
        <f>INDEX(res_cost!$T$3:$AC$35,MATCH($A11&amp;$B11&amp;$C11,res_cost!$AE$3:$AE$35,0),MATCH(K$2,res_cost!$T$2:$AC$2,0))</f>
        <v>9.3200561625510616</v>
      </c>
      <c r="L11" s="66">
        <f>INDEX(res_cost!$T$3:$AC$35,MATCH($A11&amp;$B11&amp;$C11,res_cost!$AE$3:$AE$35,0),MATCH(L$2,res_cost!$T$2:$AC$2,0))</f>
        <v>9.3200561625510616</v>
      </c>
      <c r="M11" s="66">
        <f>INDEX(res_cost!$T$3:$AC$35,MATCH($A11&amp;$B11&amp;$C11,res_cost!$AE$3:$AE$35,0),MATCH(M$2,res_cost!$T$2:$AC$2,0))</f>
        <v>9.3200561625510616</v>
      </c>
      <c r="N11" s="66">
        <f>INDEX(res_cost!$T$3:$AC$35,MATCH($A11&amp;$B11&amp;$C11,res_cost!$AE$3:$AE$35,0),MATCH(N$2,res_cost!$T$2:$AC$2,0))</f>
        <v>9.3200561625510616</v>
      </c>
    </row>
    <row r="12" spans="1:14" x14ac:dyDescent="0.2">
      <c r="A12" t="s">
        <v>71</v>
      </c>
      <c r="B12" t="s">
        <v>7</v>
      </c>
      <c r="C12" t="s">
        <v>10</v>
      </c>
      <c r="D12" s="65">
        <f t="shared" si="1"/>
        <v>14.421422658652068</v>
      </c>
      <c r="E12" s="66">
        <f>INDEX(res_cost!$T$3:$AC$35,MATCH($A12&amp;$B12&amp;$C12,res_cost!$AE$3:$AE$35,0),MATCH(E$2,res_cost!$T$2:$AC$2,0))</f>
        <v>14.421422658652068</v>
      </c>
      <c r="F12" s="66">
        <f>INDEX(res_cost!$T$3:$AC$35,MATCH($A12&amp;$B12&amp;$C12,res_cost!$AE$3:$AE$35,0),MATCH(F$2,res_cost!$T$2:$AC$2,0))</f>
        <v>14.421422658652068</v>
      </c>
      <c r="G12" s="66">
        <f>INDEX(res_cost!$T$3:$AC$35,MATCH($A12&amp;$B12&amp;$C12,res_cost!$AE$3:$AE$35,0),MATCH(G$2,res_cost!$T$2:$AC$2,0))</f>
        <v>14.421422658652068</v>
      </c>
      <c r="H12" s="66">
        <f>INDEX(res_cost!$T$3:$AC$35,MATCH($A12&amp;$B12&amp;$C12,res_cost!$AE$3:$AE$35,0),MATCH(H$2,res_cost!$T$2:$AC$2,0))</f>
        <v>15.040687419826321</v>
      </c>
      <c r="I12" s="66">
        <f>INDEX(res_cost!$T$3:$AC$35,MATCH($A12&amp;$B12&amp;$C12,res_cost!$AE$3:$AE$35,0),MATCH(I$2,res_cost!$T$2:$AC$2,0))</f>
        <v>15.040687419826321</v>
      </c>
      <c r="J12" s="66">
        <f>INDEX(res_cost!$T$3:$AC$35,MATCH($A12&amp;$B12&amp;$C12,res_cost!$AE$3:$AE$35,0),MATCH(J$2,res_cost!$T$2:$AC$2,0))</f>
        <v>15.040687419826321</v>
      </c>
      <c r="K12" s="66">
        <f>INDEX(res_cost!$T$3:$AC$35,MATCH($A12&amp;$B12&amp;$C12,res_cost!$AE$3:$AE$35,0),MATCH(K$2,res_cost!$T$2:$AC$2,0))</f>
        <v>15.040687419826321</v>
      </c>
      <c r="L12" s="66">
        <f>INDEX(res_cost!$T$3:$AC$35,MATCH($A12&amp;$B12&amp;$C12,res_cost!$AE$3:$AE$35,0),MATCH(L$2,res_cost!$T$2:$AC$2,0))</f>
        <v>15.040687419826321</v>
      </c>
      <c r="M12" s="66">
        <f>INDEX(res_cost!$T$3:$AC$35,MATCH($A12&amp;$B12&amp;$C12,res_cost!$AE$3:$AE$35,0),MATCH(M$2,res_cost!$T$2:$AC$2,0))</f>
        <v>15.040687419826321</v>
      </c>
      <c r="N12" s="66">
        <f>INDEX(res_cost!$T$3:$AC$35,MATCH($A12&amp;$B12&amp;$C12,res_cost!$AE$3:$AE$35,0),MATCH(N$2,res_cost!$T$2:$AC$2,0))</f>
        <v>15.040687419826321</v>
      </c>
    </row>
    <row r="13" spans="1:14" x14ac:dyDescent="0.2">
      <c r="A13" t="s">
        <v>72</v>
      </c>
      <c r="B13" t="s">
        <v>31</v>
      </c>
      <c r="C13" t="s">
        <v>21</v>
      </c>
      <c r="D13" s="65">
        <f t="shared" si="1"/>
        <v>17.081994955398876</v>
      </c>
      <c r="E13" s="66">
        <f>INDEX(res_cost!$T$3:$AC$35,MATCH($A13&amp;$B13&amp;$C13,res_cost!$AE$3:$AE$35,0),MATCH(E$2,res_cost!$T$2:$AC$2,0))</f>
        <v>17.081994955398876</v>
      </c>
      <c r="F13" s="66">
        <f>INDEX(res_cost!$T$3:$AC$35,MATCH($A13&amp;$B13&amp;$C13,res_cost!$AE$3:$AE$35,0),MATCH(F$2,res_cost!$T$2:$AC$2,0))</f>
        <v>17.081994955398876</v>
      </c>
      <c r="G13" s="66">
        <f>INDEX(res_cost!$T$3:$AC$35,MATCH($A13&amp;$B13&amp;$C13,res_cost!$AE$3:$AE$35,0),MATCH(G$2,res_cost!$T$2:$AC$2,0))</f>
        <v>17.081994955398876</v>
      </c>
      <c r="H13" s="66">
        <f>INDEX(res_cost!$T$3:$AC$35,MATCH($A13&amp;$B13&amp;$C13,res_cost!$AE$3:$AE$35,0),MATCH(H$2,res_cost!$T$2:$AC$2,0))</f>
        <v>17.081994955398876</v>
      </c>
      <c r="I13" s="66">
        <f>INDEX(res_cost!$T$3:$AC$35,MATCH($A13&amp;$B13&amp;$C13,res_cost!$AE$3:$AE$35,0),MATCH(I$2,res_cost!$T$2:$AC$2,0))</f>
        <v>17.081994955398876</v>
      </c>
      <c r="J13" s="66">
        <f>INDEX(res_cost!$T$3:$AC$35,MATCH($A13&amp;$B13&amp;$C13,res_cost!$AE$3:$AE$35,0),MATCH(J$2,res_cost!$T$2:$AC$2,0))</f>
        <v>17.081994955398876</v>
      </c>
      <c r="K13" s="66">
        <f>INDEX(res_cost!$T$3:$AC$35,MATCH($A13&amp;$B13&amp;$C13,res_cost!$AE$3:$AE$35,0),MATCH(K$2,res_cost!$T$2:$AC$2,0))</f>
        <v>17.081994955398876</v>
      </c>
      <c r="L13" s="66">
        <f>INDEX(res_cost!$T$3:$AC$35,MATCH($A13&amp;$B13&amp;$C13,res_cost!$AE$3:$AE$35,0),MATCH(L$2,res_cost!$T$2:$AC$2,0))</f>
        <v>17.081994955398876</v>
      </c>
      <c r="M13" s="66">
        <f>INDEX(res_cost!$T$3:$AC$35,MATCH($A13&amp;$B13&amp;$C13,res_cost!$AE$3:$AE$35,0),MATCH(M$2,res_cost!$T$2:$AC$2,0))</f>
        <v>17.081994955398876</v>
      </c>
      <c r="N13" s="66">
        <f>INDEX(res_cost!$T$3:$AC$35,MATCH($A13&amp;$B13&amp;$C13,res_cost!$AE$3:$AE$35,0),MATCH(N$2,res_cost!$T$2:$AC$2,0))</f>
        <v>17.081994955398876</v>
      </c>
    </row>
    <row r="14" spans="1:14" x14ac:dyDescent="0.2">
      <c r="A14" t="s">
        <v>72</v>
      </c>
      <c r="B14" t="s">
        <v>31</v>
      </c>
      <c r="C14" t="s">
        <v>22</v>
      </c>
      <c r="D14" s="65">
        <f t="shared" si="1"/>
        <v>17.969371316718295</v>
      </c>
      <c r="E14" s="66">
        <f>INDEX(res_cost!$T$3:$AC$35,MATCH($A14&amp;$B14&amp;$C14,res_cost!$AE$3:$AE$35,0),MATCH(E$2,res_cost!$T$2:$AC$2,0))</f>
        <v>17.969371316718295</v>
      </c>
      <c r="F14" s="66">
        <f>INDEX(res_cost!$T$3:$AC$35,MATCH($A14&amp;$B14&amp;$C14,res_cost!$AE$3:$AE$35,0),MATCH(F$2,res_cost!$T$2:$AC$2,0))</f>
        <v>17.969371316718295</v>
      </c>
      <c r="G14" s="66">
        <f>INDEX(res_cost!$T$3:$AC$35,MATCH($A14&amp;$B14&amp;$C14,res_cost!$AE$3:$AE$35,0),MATCH(G$2,res_cost!$T$2:$AC$2,0))</f>
        <v>17.969371316718295</v>
      </c>
      <c r="H14" s="66">
        <f>INDEX(res_cost!$T$3:$AC$35,MATCH($A14&amp;$B14&amp;$C14,res_cost!$AE$3:$AE$35,0),MATCH(H$2,res_cost!$T$2:$AC$2,0))</f>
        <v>17.969371316718295</v>
      </c>
      <c r="I14" s="66">
        <f>INDEX(res_cost!$T$3:$AC$35,MATCH($A14&amp;$B14&amp;$C14,res_cost!$AE$3:$AE$35,0),MATCH(I$2,res_cost!$T$2:$AC$2,0))</f>
        <v>17.969371316718295</v>
      </c>
      <c r="J14" s="66">
        <f>INDEX(res_cost!$T$3:$AC$35,MATCH($A14&amp;$B14&amp;$C14,res_cost!$AE$3:$AE$35,0),MATCH(J$2,res_cost!$T$2:$AC$2,0))</f>
        <v>17.969371316718295</v>
      </c>
      <c r="K14" s="66">
        <f>INDEX(res_cost!$T$3:$AC$35,MATCH($A14&amp;$B14&amp;$C14,res_cost!$AE$3:$AE$35,0),MATCH(K$2,res_cost!$T$2:$AC$2,0))</f>
        <v>17.969371316718295</v>
      </c>
      <c r="L14" s="66">
        <f>INDEX(res_cost!$T$3:$AC$35,MATCH($A14&amp;$B14&amp;$C14,res_cost!$AE$3:$AE$35,0),MATCH(L$2,res_cost!$T$2:$AC$2,0))</f>
        <v>17.969371316718295</v>
      </c>
      <c r="M14" s="66">
        <f>INDEX(res_cost!$T$3:$AC$35,MATCH($A14&amp;$B14&amp;$C14,res_cost!$AE$3:$AE$35,0),MATCH(M$2,res_cost!$T$2:$AC$2,0))</f>
        <v>17.969371316718295</v>
      </c>
      <c r="N14" s="66">
        <f>INDEX(res_cost!$T$3:$AC$35,MATCH($A14&amp;$B14&amp;$C14,res_cost!$AE$3:$AE$35,0),MATCH(N$2,res_cost!$T$2:$AC$2,0))</f>
        <v>17.969371316718295</v>
      </c>
    </row>
    <row r="15" spans="1:14" x14ac:dyDescent="0.2">
      <c r="A15" t="s">
        <v>72</v>
      </c>
      <c r="B15" t="s">
        <v>7</v>
      </c>
      <c r="C15" t="s">
        <v>24</v>
      </c>
      <c r="D15" s="65">
        <f t="shared" si="1"/>
        <v>6.8307549172071855</v>
      </c>
      <c r="E15" s="66">
        <f>INDEX(res_cost!$T$3:$AC$35,MATCH($A15&amp;$B15&amp;$C15,res_cost!$AE$3:$AE$35,0),MATCH(E$2,res_cost!$T$2:$AC$2,0))</f>
        <v>6.8307549172071855</v>
      </c>
      <c r="F15" s="66">
        <f>INDEX(res_cost!$T$3:$AC$35,MATCH($A15&amp;$B15&amp;$C15,res_cost!$AE$3:$AE$35,0),MATCH(F$2,res_cost!$T$2:$AC$2,0))</f>
        <v>6.8307549172071855</v>
      </c>
      <c r="G15" s="66">
        <f>INDEX(res_cost!$T$3:$AC$35,MATCH($A15&amp;$B15&amp;$C15,res_cost!$AE$3:$AE$35,0),MATCH(G$2,res_cost!$T$2:$AC$2,0))</f>
        <v>6.8307549172071855</v>
      </c>
      <c r="H15" s="66">
        <f>INDEX(res_cost!$T$3:$AC$35,MATCH($A15&amp;$B15&amp;$C15,res_cost!$AE$3:$AE$35,0),MATCH(H$2,res_cost!$T$2:$AC$2,0))</f>
        <v>6.8307549172071855</v>
      </c>
      <c r="I15" s="66">
        <f>INDEX(res_cost!$T$3:$AC$35,MATCH($A15&amp;$B15&amp;$C15,res_cost!$AE$3:$AE$35,0),MATCH(I$2,res_cost!$T$2:$AC$2,0))</f>
        <v>6.8307549172071855</v>
      </c>
      <c r="J15" s="66">
        <f>INDEX(res_cost!$T$3:$AC$35,MATCH($A15&amp;$B15&amp;$C15,res_cost!$AE$3:$AE$35,0),MATCH(J$2,res_cost!$T$2:$AC$2,0))</f>
        <v>6.8307549172071855</v>
      </c>
      <c r="K15" s="66">
        <f>INDEX(res_cost!$T$3:$AC$35,MATCH($A15&amp;$B15&amp;$C15,res_cost!$AE$3:$AE$35,0),MATCH(K$2,res_cost!$T$2:$AC$2,0))</f>
        <v>6.8307549172071855</v>
      </c>
      <c r="L15" s="66">
        <f>INDEX(res_cost!$T$3:$AC$35,MATCH($A15&amp;$B15&amp;$C15,res_cost!$AE$3:$AE$35,0),MATCH(L$2,res_cost!$T$2:$AC$2,0))</f>
        <v>6.8307549172071855</v>
      </c>
      <c r="M15" s="66">
        <f>INDEX(res_cost!$T$3:$AC$35,MATCH($A15&amp;$B15&amp;$C15,res_cost!$AE$3:$AE$35,0),MATCH(M$2,res_cost!$T$2:$AC$2,0))</f>
        <v>6.8307549172071855</v>
      </c>
      <c r="N15" s="66">
        <f>INDEX(res_cost!$T$3:$AC$35,MATCH($A15&amp;$B15&amp;$C15,res_cost!$AE$3:$AE$35,0),MATCH(N$2,res_cost!$T$2:$AC$2,0))</f>
        <v>6.8307549172071855</v>
      </c>
    </row>
    <row r="16" spans="1:14" x14ac:dyDescent="0.2">
      <c r="A16" t="s">
        <v>72</v>
      </c>
      <c r="B16" t="s">
        <v>7</v>
      </c>
      <c r="C16" t="s">
        <v>25</v>
      </c>
      <c r="D16" s="65">
        <f t="shared" si="1"/>
        <v>16.675078180241073</v>
      </c>
      <c r="E16" s="66">
        <f>INDEX(res_cost!$T$3:$AC$35,MATCH($A16&amp;$B16&amp;$C16,res_cost!$AE$3:$AE$35,0),MATCH(E$2,res_cost!$T$2:$AC$2,0))</f>
        <v>16.675078180241073</v>
      </c>
      <c r="F16" s="66">
        <f>INDEX(res_cost!$T$3:$AC$35,MATCH($A16&amp;$B16&amp;$C16,res_cost!$AE$3:$AE$35,0),MATCH(F$2,res_cost!$T$2:$AC$2,0))</f>
        <v>16.675078180241073</v>
      </c>
      <c r="G16" s="66">
        <f>INDEX(res_cost!$T$3:$AC$35,MATCH($A16&amp;$B16&amp;$C16,res_cost!$AE$3:$AE$35,0),MATCH(G$2,res_cost!$T$2:$AC$2,0))</f>
        <v>16.675078180241073</v>
      </c>
      <c r="H16" s="66">
        <f>INDEX(res_cost!$T$3:$AC$35,MATCH($A16&amp;$B16&amp;$C16,res_cost!$AE$3:$AE$35,0),MATCH(H$2,res_cost!$T$2:$AC$2,0))</f>
        <v>16.675078180241073</v>
      </c>
      <c r="I16" s="66">
        <f>INDEX(res_cost!$T$3:$AC$35,MATCH($A16&amp;$B16&amp;$C16,res_cost!$AE$3:$AE$35,0),MATCH(I$2,res_cost!$T$2:$AC$2,0))</f>
        <v>16.675078180241073</v>
      </c>
      <c r="J16" s="66">
        <f>INDEX(res_cost!$T$3:$AC$35,MATCH($A16&amp;$B16&amp;$C16,res_cost!$AE$3:$AE$35,0),MATCH(J$2,res_cost!$T$2:$AC$2,0))</f>
        <v>16.675078180241073</v>
      </c>
      <c r="K16" s="66">
        <f>INDEX(res_cost!$T$3:$AC$35,MATCH($A16&amp;$B16&amp;$C16,res_cost!$AE$3:$AE$35,0),MATCH(K$2,res_cost!$T$2:$AC$2,0))</f>
        <v>16.675078180241073</v>
      </c>
      <c r="L16" s="66">
        <f>INDEX(res_cost!$T$3:$AC$35,MATCH($A16&amp;$B16&amp;$C16,res_cost!$AE$3:$AE$35,0),MATCH(L$2,res_cost!$T$2:$AC$2,0))</f>
        <v>16.675078180241073</v>
      </c>
      <c r="M16" s="66">
        <f>INDEX(res_cost!$T$3:$AC$35,MATCH($A16&amp;$B16&amp;$C16,res_cost!$AE$3:$AE$35,0),MATCH(M$2,res_cost!$T$2:$AC$2,0))</f>
        <v>16.675078180241073</v>
      </c>
      <c r="N16" s="66">
        <f>INDEX(res_cost!$T$3:$AC$35,MATCH($A16&amp;$B16&amp;$C16,res_cost!$AE$3:$AE$35,0),MATCH(N$2,res_cost!$T$2:$AC$2,0))</f>
        <v>16.675078180241073</v>
      </c>
    </row>
    <row r="17" spans="1:14" x14ac:dyDescent="0.2">
      <c r="A17" t="s">
        <v>72</v>
      </c>
      <c r="B17" t="s">
        <v>7</v>
      </c>
      <c r="C17" t="s">
        <v>23</v>
      </c>
      <c r="D17" s="65">
        <f t="shared" si="1"/>
        <v>16.675078180241073</v>
      </c>
      <c r="E17" s="66">
        <f>INDEX(res_cost!$T$3:$AC$35,MATCH($A17&amp;$B17&amp;$C17,res_cost!$AE$3:$AE$35,0),MATCH(E$2,res_cost!$T$2:$AC$2,0))</f>
        <v>16.675078180241073</v>
      </c>
      <c r="F17" s="66">
        <f>INDEX(res_cost!$T$3:$AC$35,MATCH($A17&amp;$B17&amp;$C17,res_cost!$AE$3:$AE$35,0),MATCH(F$2,res_cost!$T$2:$AC$2,0))</f>
        <v>16.675078180241073</v>
      </c>
      <c r="G17" s="66">
        <f>INDEX(res_cost!$T$3:$AC$35,MATCH($A17&amp;$B17&amp;$C17,res_cost!$AE$3:$AE$35,0),MATCH(G$2,res_cost!$T$2:$AC$2,0))</f>
        <v>16.675078180241073</v>
      </c>
      <c r="H17" s="66">
        <f>INDEX(res_cost!$T$3:$AC$35,MATCH($A17&amp;$B17&amp;$C17,res_cost!$AE$3:$AE$35,0),MATCH(H$2,res_cost!$T$2:$AC$2,0))</f>
        <v>16.675078180241073</v>
      </c>
      <c r="I17" s="66">
        <f>INDEX(res_cost!$T$3:$AC$35,MATCH($A17&amp;$B17&amp;$C17,res_cost!$AE$3:$AE$35,0),MATCH(I$2,res_cost!$T$2:$AC$2,0))</f>
        <v>16.675078180241073</v>
      </c>
      <c r="J17" s="66">
        <f>INDEX(res_cost!$T$3:$AC$35,MATCH($A17&amp;$B17&amp;$C17,res_cost!$AE$3:$AE$35,0),MATCH(J$2,res_cost!$T$2:$AC$2,0))</f>
        <v>16.675078180241073</v>
      </c>
      <c r="K17" s="66">
        <f>INDEX(res_cost!$T$3:$AC$35,MATCH($A17&amp;$B17&amp;$C17,res_cost!$AE$3:$AE$35,0),MATCH(K$2,res_cost!$T$2:$AC$2,0))</f>
        <v>16.675078180241073</v>
      </c>
      <c r="L17" s="66">
        <f>INDEX(res_cost!$T$3:$AC$35,MATCH($A17&amp;$B17&amp;$C17,res_cost!$AE$3:$AE$35,0),MATCH(L$2,res_cost!$T$2:$AC$2,0))</f>
        <v>16.675078180241073</v>
      </c>
      <c r="M17" s="66">
        <f>INDEX(res_cost!$T$3:$AC$35,MATCH($A17&amp;$B17&amp;$C17,res_cost!$AE$3:$AE$35,0),MATCH(M$2,res_cost!$T$2:$AC$2,0))</f>
        <v>16.675078180241073</v>
      </c>
      <c r="N17" s="66">
        <f>INDEX(res_cost!$T$3:$AC$35,MATCH($A17&amp;$B17&amp;$C17,res_cost!$AE$3:$AE$35,0),MATCH(N$2,res_cost!$T$2:$AC$2,0))</f>
        <v>16.675078180241073</v>
      </c>
    </row>
    <row r="18" spans="1:14" x14ac:dyDescent="0.2">
      <c r="A18" t="s">
        <v>72</v>
      </c>
      <c r="B18" t="s">
        <v>8</v>
      </c>
      <c r="C18" t="s">
        <v>26</v>
      </c>
      <c r="D18" s="65">
        <f t="shared" si="1"/>
        <v>17.081994955398876</v>
      </c>
      <c r="E18" s="66">
        <f>INDEX(res_cost!$T$3:$AC$35,MATCH($A18&amp;$B18&amp;$C18,res_cost!$AE$3:$AE$35,0),MATCH(E$2,res_cost!$T$2:$AC$2,0))</f>
        <v>17.081994955398876</v>
      </c>
      <c r="F18" s="66">
        <f>INDEX(res_cost!$T$3:$AC$35,MATCH($A18&amp;$B18&amp;$C18,res_cost!$AE$3:$AE$35,0),MATCH(F$2,res_cost!$T$2:$AC$2,0))</f>
        <v>17.081994955398876</v>
      </c>
      <c r="G18" s="66">
        <f>INDEX(res_cost!$T$3:$AC$35,MATCH($A18&amp;$B18&amp;$C18,res_cost!$AE$3:$AE$35,0),MATCH(G$2,res_cost!$T$2:$AC$2,0))</f>
        <v>17.081994955398876</v>
      </c>
      <c r="H18" s="66">
        <f>INDEX(res_cost!$T$3:$AC$35,MATCH($A18&amp;$B18&amp;$C18,res_cost!$AE$3:$AE$35,0),MATCH(H$2,res_cost!$T$2:$AC$2,0))</f>
        <v>17.081994955398876</v>
      </c>
      <c r="I18" s="66">
        <f>INDEX(res_cost!$T$3:$AC$35,MATCH($A18&amp;$B18&amp;$C18,res_cost!$AE$3:$AE$35,0),MATCH(I$2,res_cost!$T$2:$AC$2,0))</f>
        <v>17.081994955398876</v>
      </c>
      <c r="J18" s="66">
        <f>INDEX(res_cost!$T$3:$AC$35,MATCH($A18&amp;$B18&amp;$C18,res_cost!$AE$3:$AE$35,0),MATCH(J$2,res_cost!$T$2:$AC$2,0))</f>
        <v>17.081994955398876</v>
      </c>
      <c r="K18" s="66">
        <f>INDEX(res_cost!$T$3:$AC$35,MATCH($A18&amp;$B18&amp;$C18,res_cost!$AE$3:$AE$35,0),MATCH(K$2,res_cost!$T$2:$AC$2,0))</f>
        <v>17.081994955398876</v>
      </c>
      <c r="L18" s="66">
        <f>INDEX(res_cost!$T$3:$AC$35,MATCH($A18&amp;$B18&amp;$C18,res_cost!$AE$3:$AE$35,0),MATCH(L$2,res_cost!$T$2:$AC$2,0))</f>
        <v>17.081994955398876</v>
      </c>
      <c r="M18" s="66">
        <f>INDEX(res_cost!$T$3:$AC$35,MATCH($A18&amp;$B18&amp;$C18,res_cost!$AE$3:$AE$35,0),MATCH(M$2,res_cost!$T$2:$AC$2,0))</f>
        <v>17.081994955398876</v>
      </c>
      <c r="N18" s="66">
        <f>INDEX(res_cost!$T$3:$AC$35,MATCH($A18&amp;$B18&amp;$C18,res_cost!$AE$3:$AE$35,0),MATCH(N$2,res_cost!$T$2:$AC$2,0))</f>
        <v>17.081994955398876</v>
      </c>
    </row>
    <row r="19" spans="1:14" x14ac:dyDescent="0.2">
      <c r="A19" t="s">
        <v>72</v>
      </c>
      <c r="B19" t="s">
        <v>8</v>
      </c>
      <c r="C19" t="s">
        <v>27</v>
      </c>
      <c r="D19" s="65">
        <f t="shared" si="1"/>
        <v>17.081994955398876</v>
      </c>
      <c r="E19" s="66">
        <f>INDEX(res_cost!$T$3:$AC$35,MATCH($A19&amp;$B19&amp;$C19,res_cost!$AE$3:$AE$35,0),MATCH(E$2,res_cost!$T$2:$AC$2,0))</f>
        <v>17.081994955398876</v>
      </c>
      <c r="F19" s="66">
        <f>INDEX(res_cost!$T$3:$AC$35,MATCH($A19&amp;$B19&amp;$C19,res_cost!$AE$3:$AE$35,0),MATCH(F$2,res_cost!$T$2:$AC$2,0))</f>
        <v>17.081994955398876</v>
      </c>
      <c r="G19" s="66">
        <f>INDEX(res_cost!$T$3:$AC$35,MATCH($A19&amp;$B19&amp;$C19,res_cost!$AE$3:$AE$35,0),MATCH(G$2,res_cost!$T$2:$AC$2,0))</f>
        <v>17.081994955398876</v>
      </c>
      <c r="H19" s="66">
        <f>INDEX(res_cost!$T$3:$AC$35,MATCH($A19&amp;$B19&amp;$C19,res_cost!$AE$3:$AE$35,0),MATCH(H$2,res_cost!$T$2:$AC$2,0))</f>
        <v>17.081994955398876</v>
      </c>
      <c r="I19" s="66">
        <f>INDEX(res_cost!$T$3:$AC$35,MATCH($A19&amp;$B19&amp;$C19,res_cost!$AE$3:$AE$35,0),MATCH(I$2,res_cost!$T$2:$AC$2,0))</f>
        <v>17.081994955398876</v>
      </c>
      <c r="J19" s="66">
        <f>INDEX(res_cost!$T$3:$AC$35,MATCH($A19&amp;$B19&amp;$C19,res_cost!$AE$3:$AE$35,0),MATCH(J$2,res_cost!$T$2:$AC$2,0))</f>
        <v>17.081994955398876</v>
      </c>
      <c r="K19" s="66">
        <f>INDEX(res_cost!$T$3:$AC$35,MATCH($A19&amp;$B19&amp;$C19,res_cost!$AE$3:$AE$35,0),MATCH(K$2,res_cost!$T$2:$AC$2,0))</f>
        <v>17.081994955398876</v>
      </c>
      <c r="L19" s="66">
        <f>INDEX(res_cost!$T$3:$AC$35,MATCH($A19&amp;$B19&amp;$C19,res_cost!$AE$3:$AE$35,0),MATCH(L$2,res_cost!$T$2:$AC$2,0))</f>
        <v>17.081994955398876</v>
      </c>
      <c r="M19" s="66">
        <f>INDEX(res_cost!$T$3:$AC$35,MATCH($A19&amp;$B19&amp;$C19,res_cost!$AE$3:$AE$35,0),MATCH(M$2,res_cost!$T$2:$AC$2,0))</f>
        <v>17.081994955398876</v>
      </c>
      <c r="N19" s="66">
        <f>INDEX(res_cost!$T$3:$AC$35,MATCH($A19&amp;$B19&amp;$C19,res_cost!$AE$3:$AE$35,0),MATCH(N$2,res_cost!$T$2:$AC$2,0))</f>
        <v>17.081994955398876</v>
      </c>
    </row>
    <row r="20" spans="1:14" x14ac:dyDescent="0.2">
      <c r="A20" t="s">
        <v>73</v>
      </c>
      <c r="B20" t="s">
        <v>7</v>
      </c>
      <c r="C20" t="s">
        <v>29</v>
      </c>
      <c r="D20" s="65">
        <f t="shared" si="1"/>
        <v>0.64436910960221983</v>
      </c>
      <c r="E20" s="66">
        <f>INDEX(res_cost!$T$3:$AC$35,MATCH($A20&amp;$B20&amp;$C20,res_cost!$AE$3:$AE$35,0),MATCH(E$2,res_cost!$T$2:$AC$2,0))</f>
        <v>0.64436910960221983</v>
      </c>
      <c r="F20" s="66">
        <f>INDEX(res_cost!$T$3:$AC$35,MATCH($A20&amp;$B20&amp;$C20,res_cost!$AE$3:$AE$35,0),MATCH(F$2,res_cost!$T$2:$AC$2,0))</f>
        <v>0.64436910960221983</v>
      </c>
      <c r="G20" s="66">
        <f>INDEX(res_cost!$T$3:$AC$35,MATCH($A20&amp;$B20&amp;$C20,res_cost!$AE$3:$AE$35,0),MATCH(G$2,res_cost!$T$2:$AC$2,0))</f>
        <v>0.64436910960221983</v>
      </c>
      <c r="H20" s="66">
        <f>INDEX(res_cost!$T$3:$AC$35,MATCH($A20&amp;$B20&amp;$C20,res_cost!$AE$3:$AE$35,0),MATCH(H$2,res_cost!$T$2:$AC$2,0))</f>
        <v>0.64436910960221983</v>
      </c>
      <c r="I20" s="66">
        <f>INDEX(res_cost!$T$3:$AC$35,MATCH($A20&amp;$B20&amp;$C20,res_cost!$AE$3:$AE$35,0),MATCH(I$2,res_cost!$T$2:$AC$2,0))</f>
        <v>0.64436910960221983</v>
      </c>
      <c r="J20" s="66">
        <f>INDEX(res_cost!$T$3:$AC$35,MATCH($A20&amp;$B20&amp;$C20,res_cost!$AE$3:$AE$35,0),MATCH(J$2,res_cost!$T$2:$AC$2,0))</f>
        <v>0.64436910960221983</v>
      </c>
      <c r="K20" s="66">
        <f>INDEX(res_cost!$T$3:$AC$35,MATCH($A20&amp;$B20&amp;$C20,res_cost!$AE$3:$AE$35,0),MATCH(K$2,res_cost!$T$2:$AC$2,0))</f>
        <v>0.64436910960221983</v>
      </c>
      <c r="L20" s="66">
        <f>INDEX(res_cost!$T$3:$AC$35,MATCH($A20&amp;$B20&amp;$C20,res_cost!$AE$3:$AE$35,0),MATCH(L$2,res_cost!$T$2:$AC$2,0))</f>
        <v>0.64436910960221983</v>
      </c>
      <c r="M20" s="66">
        <f>INDEX(res_cost!$T$3:$AC$35,MATCH($A20&amp;$B20&amp;$C20,res_cost!$AE$3:$AE$35,0),MATCH(M$2,res_cost!$T$2:$AC$2,0))</f>
        <v>0.64436910960221983</v>
      </c>
      <c r="N20" s="66">
        <f>INDEX(res_cost!$T$3:$AC$35,MATCH($A20&amp;$B20&amp;$C20,res_cost!$AE$3:$AE$35,0),MATCH(N$2,res_cost!$T$2:$AC$2,0))</f>
        <v>0.64436910960221983</v>
      </c>
    </row>
    <row r="21" spans="1:14" x14ac:dyDescent="0.2">
      <c r="A21" t="s">
        <v>73</v>
      </c>
      <c r="B21" t="s">
        <v>7</v>
      </c>
      <c r="C21" t="s">
        <v>28</v>
      </c>
      <c r="D21" s="65">
        <f t="shared" si="1"/>
        <v>0.11860110284297176</v>
      </c>
      <c r="E21" s="66">
        <f>INDEX(res_cost!$T$3:$AC$35,MATCH($A21&amp;$B21&amp;$C21,res_cost!$AE$3:$AE$35,0),MATCH(E$2,res_cost!$T$2:$AC$2,0))</f>
        <v>0.11860110284297176</v>
      </c>
      <c r="F21" s="66">
        <f>INDEX(res_cost!$T$3:$AC$35,MATCH($A21&amp;$B21&amp;$C21,res_cost!$AE$3:$AE$35,0),MATCH(F$2,res_cost!$T$2:$AC$2,0))</f>
        <v>0.11860110284297176</v>
      </c>
      <c r="G21" s="66">
        <f>INDEX(res_cost!$T$3:$AC$35,MATCH($A21&amp;$B21&amp;$C21,res_cost!$AE$3:$AE$35,0),MATCH(G$2,res_cost!$T$2:$AC$2,0))</f>
        <v>0.11860110284297176</v>
      </c>
      <c r="H21" s="66">
        <f>INDEX(res_cost!$T$3:$AC$35,MATCH($A21&amp;$B21&amp;$C21,res_cost!$AE$3:$AE$35,0),MATCH(H$2,res_cost!$T$2:$AC$2,0))</f>
        <v>0.11860110284297176</v>
      </c>
      <c r="I21" s="66">
        <f>INDEX(res_cost!$T$3:$AC$35,MATCH($A21&amp;$B21&amp;$C21,res_cost!$AE$3:$AE$35,0),MATCH(I$2,res_cost!$T$2:$AC$2,0))</f>
        <v>0.11321014362283666</v>
      </c>
      <c r="J21" s="66">
        <f>INDEX(res_cost!$T$3:$AC$35,MATCH($A21&amp;$B21&amp;$C21,res_cost!$AE$3:$AE$35,0),MATCH(J$2,res_cost!$T$2:$AC$2,0))</f>
        <v>0.11321014362283666</v>
      </c>
      <c r="K21" s="66">
        <f>INDEX(res_cost!$T$3:$AC$35,MATCH($A21&amp;$B21&amp;$C21,res_cost!$AE$3:$AE$35,0),MATCH(K$2,res_cost!$T$2:$AC$2,0))</f>
        <v>0.1072201889337977</v>
      </c>
      <c r="L21" s="66">
        <f>INDEX(res_cost!$T$3:$AC$35,MATCH($A21&amp;$B21&amp;$C21,res_cost!$AE$3:$AE$35,0),MATCH(L$2,res_cost!$T$2:$AC$2,0))</f>
        <v>0.1072201889337977</v>
      </c>
      <c r="M21" s="66">
        <f>INDEX(res_cost!$T$3:$AC$35,MATCH($A21&amp;$B21&amp;$C21,res_cost!$AE$3:$AE$35,0),MATCH(M$2,res_cost!$T$2:$AC$2,0))</f>
        <v>0.1072201889337977</v>
      </c>
      <c r="N21" s="66">
        <f>INDEX(res_cost!$T$3:$AC$35,MATCH($A21&amp;$B21&amp;$C21,res_cost!$AE$3:$AE$35,0),MATCH(N$2,res_cost!$T$2:$AC$2,0))</f>
        <v>0.1072201889337977</v>
      </c>
    </row>
    <row r="22" spans="1:14" x14ac:dyDescent="0.2">
      <c r="A22" t="s">
        <v>73</v>
      </c>
      <c r="B22" t="s">
        <v>7</v>
      </c>
      <c r="C22" t="s">
        <v>30</v>
      </c>
      <c r="D22" s="65">
        <f t="shared" si="1"/>
        <v>5.9472451526617114E-2</v>
      </c>
      <c r="E22" s="66">
        <f>INDEX(res_cost!$T$3:$AC$35,MATCH($A22&amp;$B22&amp;$C22,res_cost!$AE$3:$AE$35,0),MATCH(E$2,res_cost!$T$2:$AC$2,0))</f>
        <v>5.9472451526617114E-2</v>
      </c>
      <c r="F22" s="66">
        <f>INDEX(res_cost!$T$3:$AC$35,MATCH($A22&amp;$B22&amp;$C22,res_cost!$AE$3:$AE$35,0),MATCH(F$2,res_cost!$T$2:$AC$2,0))</f>
        <v>5.9472451526617114E-2</v>
      </c>
      <c r="G22" s="66">
        <f>INDEX(res_cost!$T$3:$AC$35,MATCH($A22&amp;$B22&amp;$C22,res_cost!$AE$3:$AE$35,0),MATCH(G$2,res_cost!$T$2:$AC$2,0))</f>
        <v>5.9472451526617114E-2</v>
      </c>
      <c r="H22" s="66">
        <f>INDEX(res_cost!$T$3:$AC$35,MATCH($A22&amp;$B22&amp;$C22,res_cost!$AE$3:$AE$35,0),MATCH(H$2,res_cost!$T$2:$AC$2,0))</f>
        <v>4.5083955189532329E-2</v>
      </c>
      <c r="I22" s="66">
        <f>INDEX(res_cost!$T$3:$AC$35,MATCH($A22&amp;$B22&amp;$C22,res_cost!$AE$3:$AE$35,0),MATCH(I$2,res_cost!$T$2:$AC$2,0))</f>
        <v>3.0215842307878049E-2</v>
      </c>
      <c r="J22" s="66">
        <f>INDEX(res_cost!$T$3:$AC$35,MATCH($A22&amp;$B22&amp;$C22,res_cost!$AE$3:$AE$35,0),MATCH(J$2,res_cost!$T$2:$AC$2,0))</f>
        <v>3.0215842307878049E-2</v>
      </c>
      <c r="K22" s="66">
        <f>INDEX(res_cost!$T$3:$AC$35,MATCH($A22&amp;$B22&amp;$C22,res_cost!$AE$3:$AE$35,0),MATCH(K$2,res_cost!$T$2:$AC$2,0))</f>
        <v>2.0143894871918696E-2</v>
      </c>
      <c r="L22" s="66">
        <f>INDEX(res_cost!$T$3:$AC$35,MATCH($A22&amp;$B22&amp;$C22,res_cost!$AE$3:$AE$35,0),MATCH(L$2,res_cost!$T$2:$AC$2,0))</f>
        <v>2.0143894871918696E-2</v>
      </c>
      <c r="M22" s="66">
        <f>INDEX(res_cost!$T$3:$AC$35,MATCH($A22&amp;$B22&amp;$C22,res_cost!$AE$3:$AE$35,0),MATCH(M$2,res_cost!$T$2:$AC$2,0))</f>
        <v>2.0143894871918696E-2</v>
      </c>
      <c r="N22" s="66">
        <f>INDEX(res_cost!$T$3:$AC$35,MATCH($A22&amp;$B22&amp;$C22,res_cost!$AE$3:$AE$35,0),MATCH(N$2,res_cost!$T$2:$AC$2,0))</f>
        <v>2.0143894871918696E-2</v>
      </c>
    </row>
    <row r="23" spans="1:14" x14ac:dyDescent="0.2">
      <c r="A23" t="s">
        <v>79</v>
      </c>
      <c r="B23" t="s">
        <v>7</v>
      </c>
      <c r="C23" t="s">
        <v>32</v>
      </c>
      <c r="D23" s="65">
        <f t="shared" si="1"/>
        <v>13.240181978632894</v>
      </c>
      <c r="E23" s="66">
        <f>INDEX(res_cost!$T$3:$AC$35,MATCH($A23&amp;$B23&amp;$C23,res_cost!$AE$3:$AE$35,0),MATCH(E$2,res_cost!$T$2:$AC$2,0))</f>
        <v>13.240181978632894</v>
      </c>
      <c r="F23" s="66">
        <f>INDEX(res_cost!$T$3:$AC$35,MATCH($A23&amp;$B23&amp;$C23,res_cost!$AE$3:$AE$35,0),MATCH(F$2,res_cost!$T$2:$AC$2,0))</f>
        <v>13.240181978632894</v>
      </c>
      <c r="G23" s="66">
        <f>INDEX(res_cost!$T$3:$AC$35,MATCH($A23&amp;$B23&amp;$C23,res_cost!$AE$3:$AE$35,0),MATCH(G$2,res_cost!$T$2:$AC$2,0))</f>
        <v>13.240181978632894</v>
      </c>
      <c r="H23" s="66">
        <f>INDEX(res_cost!$T$3:$AC$35,MATCH($A23&amp;$B23&amp;$C23,res_cost!$AE$3:$AE$35,0),MATCH(H$2,res_cost!$T$2:$AC$2,0))</f>
        <v>13.240181978632894</v>
      </c>
      <c r="I23" s="66">
        <f>INDEX(res_cost!$T$3:$AC$35,MATCH($A23&amp;$B23&amp;$C23,res_cost!$AE$3:$AE$35,0),MATCH(I$2,res_cost!$T$2:$AC$2,0))</f>
        <v>13.240181978632894</v>
      </c>
      <c r="J23" s="66">
        <f>INDEX(res_cost!$T$3:$AC$35,MATCH($A23&amp;$B23&amp;$C23,res_cost!$AE$3:$AE$35,0),MATCH(J$2,res_cost!$T$2:$AC$2,0))</f>
        <v>13.240181978632894</v>
      </c>
      <c r="K23" s="66">
        <f>INDEX(res_cost!$T$3:$AC$35,MATCH($A23&amp;$B23&amp;$C23,res_cost!$AE$3:$AE$35,0),MATCH(K$2,res_cost!$T$2:$AC$2,0))</f>
        <v>13.240181978632894</v>
      </c>
      <c r="L23" s="66">
        <f>INDEX(res_cost!$T$3:$AC$35,MATCH($A23&amp;$B23&amp;$C23,res_cost!$AE$3:$AE$35,0),MATCH(L$2,res_cost!$T$2:$AC$2,0))</f>
        <v>13.240181978632894</v>
      </c>
      <c r="M23" s="66">
        <f>INDEX(res_cost!$T$3:$AC$35,MATCH($A23&amp;$B23&amp;$C23,res_cost!$AE$3:$AE$35,0),MATCH(M$2,res_cost!$T$2:$AC$2,0))</f>
        <v>13.240181978632894</v>
      </c>
      <c r="N23" s="66">
        <f>INDEX(res_cost!$T$3:$AC$35,MATCH($A23&amp;$B23&amp;$C23,res_cost!$AE$3:$AE$35,0),MATCH(N$2,res_cost!$T$2:$AC$2,0))</f>
        <v>13.240181978632894</v>
      </c>
    </row>
    <row r="24" spans="1:14" x14ac:dyDescent="0.2">
      <c r="A24" t="s">
        <v>79</v>
      </c>
      <c r="B24" t="s">
        <v>7</v>
      </c>
      <c r="C24" t="s">
        <v>33</v>
      </c>
      <c r="D24" s="65">
        <f t="shared" si="1"/>
        <v>14.326802506307827</v>
      </c>
      <c r="E24" s="66">
        <f>INDEX(res_cost!$T$3:$AC$35,MATCH($A24&amp;$B24&amp;$C24,res_cost!$AE$3:$AE$35,0),MATCH(E$2,res_cost!$T$2:$AC$2,0))</f>
        <v>14.326802506307827</v>
      </c>
      <c r="F24" s="66">
        <f>INDEX(res_cost!$T$3:$AC$35,MATCH($A24&amp;$B24&amp;$C24,res_cost!$AE$3:$AE$35,0),MATCH(F$2,res_cost!$T$2:$AC$2,0))</f>
        <v>14.326802506307827</v>
      </c>
      <c r="G24" s="66">
        <f>INDEX(res_cost!$T$3:$AC$35,MATCH($A24&amp;$B24&amp;$C24,res_cost!$AE$3:$AE$35,0),MATCH(G$2,res_cost!$T$2:$AC$2,0))</f>
        <v>14.326802506307827</v>
      </c>
      <c r="H24" s="66">
        <f>INDEX(res_cost!$T$3:$AC$35,MATCH($A24&amp;$B24&amp;$C24,res_cost!$AE$3:$AE$35,0),MATCH(H$2,res_cost!$T$2:$AC$2,0))</f>
        <v>14.326802506307827</v>
      </c>
      <c r="I24" s="66">
        <f>INDEX(res_cost!$T$3:$AC$35,MATCH($A24&amp;$B24&amp;$C24,res_cost!$AE$3:$AE$35,0),MATCH(I$2,res_cost!$T$2:$AC$2,0))</f>
        <v>14.326802506307827</v>
      </c>
      <c r="J24" s="66">
        <f>INDEX(res_cost!$T$3:$AC$35,MATCH($A24&amp;$B24&amp;$C24,res_cost!$AE$3:$AE$35,0),MATCH(J$2,res_cost!$T$2:$AC$2,0))</f>
        <v>14.326802506307827</v>
      </c>
      <c r="K24" s="66">
        <f>INDEX(res_cost!$T$3:$AC$35,MATCH($A24&amp;$B24&amp;$C24,res_cost!$AE$3:$AE$35,0),MATCH(K$2,res_cost!$T$2:$AC$2,0))</f>
        <v>14.326802506307827</v>
      </c>
      <c r="L24" s="66">
        <f>INDEX(res_cost!$T$3:$AC$35,MATCH($A24&amp;$B24&amp;$C24,res_cost!$AE$3:$AE$35,0),MATCH(L$2,res_cost!$T$2:$AC$2,0))</f>
        <v>14.326802506307827</v>
      </c>
      <c r="M24" s="66">
        <f>INDEX(res_cost!$T$3:$AC$35,MATCH($A24&amp;$B24&amp;$C24,res_cost!$AE$3:$AE$35,0),MATCH(M$2,res_cost!$T$2:$AC$2,0))</f>
        <v>14.326802506307827</v>
      </c>
      <c r="N24" s="66">
        <f>INDEX(res_cost!$T$3:$AC$35,MATCH($A24&amp;$B24&amp;$C24,res_cost!$AE$3:$AE$35,0),MATCH(N$2,res_cost!$T$2:$AC$2,0))</f>
        <v>14.326802506307827</v>
      </c>
    </row>
    <row r="25" spans="1:14" x14ac:dyDescent="0.2">
      <c r="A25" t="s">
        <v>76</v>
      </c>
      <c r="B25" t="s">
        <v>7</v>
      </c>
      <c r="C25" t="s">
        <v>13</v>
      </c>
      <c r="D25" s="65">
        <f t="shared" si="1"/>
        <v>25.753755548940504</v>
      </c>
      <c r="E25" s="66">
        <f>INDEX(res_cost!$T$3:$AC$35,MATCH($A25&amp;$B25&amp;$C25,res_cost!$AE$3:$AE$35,0),MATCH(E$2,res_cost!$T$2:$AC$2,0))</f>
        <v>25.753755548940504</v>
      </c>
      <c r="F25" s="66">
        <f>INDEX(res_cost!$T$3:$AC$35,MATCH($A25&amp;$B25&amp;$C25,res_cost!$AE$3:$AE$35,0),MATCH(F$2,res_cost!$T$2:$AC$2,0))</f>
        <v>25.753755548940504</v>
      </c>
      <c r="G25" s="66">
        <f>INDEX(res_cost!$T$3:$AC$35,MATCH($A25&amp;$B25&amp;$C25,res_cost!$AE$3:$AE$35,0),MATCH(G$2,res_cost!$T$2:$AC$2,0))</f>
        <v>25.753755548940504</v>
      </c>
      <c r="H25" s="66">
        <f>INDEX(res_cost!$T$3:$AC$35,MATCH($A25&amp;$B25&amp;$C25,res_cost!$AE$3:$AE$35,0),MATCH(H$2,res_cost!$T$2:$AC$2,0))</f>
        <v>25.753755548940504</v>
      </c>
      <c r="I25" s="66">
        <f>INDEX(res_cost!$T$3:$AC$35,MATCH($A25&amp;$B25&amp;$C25,res_cost!$AE$3:$AE$35,0),MATCH(I$2,res_cost!$T$2:$AC$2,0))</f>
        <v>25.753755548940504</v>
      </c>
      <c r="J25" s="66">
        <f>INDEX(res_cost!$T$3:$AC$35,MATCH($A25&amp;$B25&amp;$C25,res_cost!$AE$3:$AE$35,0),MATCH(J$2,res_cost!$T$2:$AC$2,0))</f>
        <v>25.753755548940504</v>
      </c>
      <c r="K25" s="66">
        <f>INDEX(res_cost!$T$3:$AC$35,MATCH($A25&amp;$B25&amp;$C25,res_cost!$AE$3:$AE$35,0),MATCH(K$2,res_cost!$T$2:$AC$2,0))</f>
        <v>25.753755548940504</v>
      </c>
      <c r="L25" s="66">
        <f>INDEX(res_cost!$T$3:$AC$35,MATCH($A25&amp;$B25&amp;$C25,res_cost!$AE$3:$AE$35,0),MATCH(L$2,res_cost!$T$2:$AC$2,0))</f>
        <v>25.753755548940504</v>
      </c>
      <c r="M25" s="66">
        <f>INDEX(res_cost!$T$3:$AC$35,MATCH($A25&amp;$B25&amp;$C25,res_cost!$AE$3:$AE$35,0),MATCH(M$2,res_cost!$T$2:$AC$2,0))</f>
        <v>25.753755548940504</v>
      </c>
      <c r="N25" s="66">
        <f>INDEX(res_cost!$T$3:$AC$35,MATCH($A25&amp;$B25&amp;$C25,res_cost!$AE$3:$AE$35,0),MATCH(N$2,res_cost!$T$2:$AC$2,0))</f>
        <v>25.753755548940504</v>
      </c>
    </row>
    <row r="26" spans="1:14" x14ac:dyDescent="0.2">
      <c r="A26" t="s">
        <v>76</v>
      </c>
      <c r="B26" t="s">
        <v>7</v>
      </c>
      <c r="C26" t="s">
        <v>14</v>
      </c>
      <c r="D26" s="65">
        <f t="shared" si="1"/>
        <v>25.753755548940504</v>
      </c>
      <c r="E26" s="66">
        <f>INDEX(res_cost!$T$3:$AC$35,MATCH($A26&amp;$B26&amp;$C26,res_cost!$AE$3:$AE$35,0),MATCH(E$2,res_cost!$T$2:$AC$2,0))</f>
        <v>25.753755548940504</v>
      </c>
      <c r="F26" s="66">
        <f>INDEX(res_cost!$T$3:$AC$35,MATCH($A26&amp;$B26&amp;$C26,res_cost!$AE$3:$AE$35,0),MATCH(F$2,res_cost!$T$2:$AC$2,0))</f>
        <v>25.753755548940504</v>
      </c>
      <c r="G26" s="66">
        <f>INDEX(res_cost!$T$3:$AC$35,MATCH($A26&amp;$B26&amp;$C26,res_cost!$AE$3:$AE$35,0),MATCH(G$2,res_cost!$T$2:$AC$2,0))</f>
        <v>25.753755548940504</v>
      </c>
      <c r="H26" s="66">
        <f>INDEX(res_cost!$T$3:$AC$35,MATCH($A26&amp;$B26&amp;$C26,res_cost!$AE$3:$AE$35,0),MATCH(H$2,res_cost!$T$2:$AC$2,0))</f>
        <v>25.753755548940504</v>
      </c>
      <c r="I26" s="66">
        <f>INDEX(res_cost!$T$3:$AC$35,MATCH($A26&amp;$B26&amp;$C26,res_cost!$AE$3:$AE$35,0),MATCH(I$2,res_cost!$T$2:$AC$2,0))</f>
        <v>25.753755548940504</v>
      </c>
      <c r="J26" s="66">
        <f>INDEX(res_cost!$T$3:$AC$35,MATCH($A26&amp;$B26&amp;$C26,res_cost!$AE$3:$AE$35,0),MATCH(J$2,res_cost!$T$2:$AC$2,0))</f>
        <v>25.753755548940504</v>
      </c>
      <c r="K26" s="66">
        <f>INDEX(res_cost!$T$3:$AC$35,MATCH($A26&amp;$B26&amp;$C26,res_cost!$AE$3:$AE$35,0),MATCH(K$2,res_cost!$T$2:$AC$2,0))</f>
        <v>25.753755548940504</v>
      </c>
      <c r="L26" s="66">
        <f>INDEX(res_cost!$T$3:$AC$35,MATCH($A26&amp;$B26&amp;$C26,res_cost!$AE$3:$AE$35,0),MATCH(L$2,res_cost!$T$2:$AC$2,0))</f>
        <v>25.753755548940504</v>
      </c>
      <c r="M26" s="66">
        <f>INDEX(res_cost!$T$3:$AC$35,MATCH($A26&amp;$B26&amp;$C26,res_cost!$AE$3:$AE$35,0),MATCH(M$2,res_cost!$T$2:$AC$2,0))</f>
        <v>25.753755548940504</v>
      </c>
      <c r="N26" s="66">
        <f>INDEX(res_cost!$T$3:$AC$35,MATCH($A26&amp;$B26&amp;$C26,res_cost!$AE$3:$AE$35,0),MATCH(N$2,res_cost!$T$2:$AC$2,0))</f>
        <v>25.753755548940504</v>
      </c>
    </row>
    <row r="27" spans="1:14" x14ac:dyDescent="0.2">
      <c r="A27" t="s">
        <v>75</v>
      </c>
      <c r="B27" t="s">
        <v>7</v>
      </c>
      <c r="C27" t="s">
        <v>11</v>
      </c>
      <c r="D27" s="65">
        <f t="shared" si="1"/>
        <v>0.11300991433991581</v>
      </c>
      <c r="E27" s="66">
        <f>INDEX(res_cost!$T$3:$AC$35,MATCH($A27&amp;$B27&amp;$C27,res_cost!$AE$3:$AE$35,0),MATCH(E$2,res_cost!$T$2:$AC$2,0))</f>
        <v>0.11300991433991581</v>
      </c>
      <c r="F27" s="66">
        <f>INDEX(res_cost!$T$3:$AC$35,MATCH($A27&amp;$B27&amp;$C27,res_cost!$AE$3:$AE$35,0),MATCH(F$2,res_cost!$T$2:$AC$2,0))</f>
        <v>0.11300991433991581</v>
      </c>
      <c r="G27" s="66">
        <f>INDEX(res_cost!$T$3:$AC$35,MATCH($A27&amp;$B27&amp;$C27,res_cost!$AE$3:$AE$35,0),MATCH(G$2,res_cost!$T$2:$AC$2,0))</f>
        <v>0.11300991433991581</v>
      </c>
      <c r="H27" s="66">
        <f>INDEX(res_cost!$T$3:$AC$35,MATCH($A27&amp;$B27&amp;$C27,res_cost!$AE$3:$AE$35,0),MATCH(H$2,res_cost!$T$2:$AC$2,0))</f>
        <v>0.11300991433991581</v>
      </c>
      <c r="I27" s="66">
        <f>INDEX(res_cost!$T$3:$AC$35,MATCH($A27&amp;$B27&amp;$C27,res_cost!$AE$3:$AE$35,0),MATCH(I$2,res_cost!$T$2:$AC$2,0))</f>
        <v>0.11300991433991581</v>
      </c>
      <c r="J27" s="66">
        <f>INDEX(res_cost!$T$3:$AC$35,MATCH($A27&amp;$B27&amp;$C27,res_cost!$AE$3:$AE$35,0),MATCH(J$2,res_cost!$T$2:$AC$2,0))</f>
        <v>0.11300991433991581</v>
      </c>
      <c r="K27" s="66">
        <f>INDEX(res_cost!$T$3:$AC$35,MATCH($A27&amp;$B27&amp;$C27,res_cost!$AE$3:$AE$35,0),MATCH(K$2,res_cost!$T$2:$AC$2,0))</f>
        <v>0.11300991433991581</v>
      </c>
      <c r="L27" s="66">
        <f>INDEX(res_cost!$T$3:$AC$35,MATCH($A27&amp;$B27&amp;$C27,res_cost!$AE$3:$AE$35,0),MATCH(L$2,res_cost!$T$2:$AC$2,0))</f>
        <v>0.11300991433991581</v>
      </c>
      <c r="M27" s="66">
        <f>INDEX(res_cost!$T$3:$AC$35,MATCH($A27&amp;$B27&amp;$C27,res_cost!$AE$3:$AE$35,0),MATCH(M$2,res_cost!$T$2:$AC$2,0))</f>
        <v>0.11300991433991581</v>
      </c>
      <c r="N27" s="66">
        <f>INDEX(res_cost!$T$3:$AC$35,MATCH($A27&amp;$B27&amp;$C27,res_cost!$AE$3:$AE$35,0),MATCH(N$2,res_cost!$T$2:$AC$2,0))</f>
        <v>0.11300991433991581</v>
      </c>
    </row>
    <row r="28" spans="1:14" x14ac:dyDescent="0.2">
      <c r="A28" t="s">
        <v>75</v>
      </c>
      <c r="B28" t="s">
        <v>7</v>
      </c>
      <c r="C28" t="s">
        <v>12</v>
      </c>
      <c r="D28" s="65">
        <f t="shared" si="1"/>
        <v>0.11300991433991581</v>
      </c>
      <c r="E28" s="66">
        <f>INDEX(res_cost!$T$3:$AC$35,MATCH($A28&amp;$B28&amp;$C28,res_cost!$AE$3:$AE$35,0),MATCH(E$2,res_cost!$T$2:$AC$2,0))</f>
        <v>0.11300991433991581</v>
      </c>
      <c r="F28" s="66">
        <f>INDEX(res_cost!$T$3:$AC$35,MATCH($A28&amp;$B28&amp;$C28,res_cost!$AE$3:$AE$35,0),MATCH(F$2,res_cost!$T$2:$AC$2,0))</f>
        <v>0.11300991433991581</v>
      </c>
      <c r="G28" s="66">
        <f>INDEX(res_cost!$T$3:$AC$35,MATCH($A28&amp;$B28&amp;$C28,res_cost!$AE$3:$AE$35,0),MATCH(G$2,res_cost!$T$2:$AC$2,0))</f>
        <v>0.11300991433991581</v>
      </c>
      <c r="H28" s="66">
        <f>INDEX(res_cost!$T$3:$AC$35,MATCH($A28&amp;$B28&amp;$C28,res_cost!$AE$3:$AE$35,0),MATCH(H$2,res_cost!$T$2:$AC$2,0))</f>
        <v>0.11300991433991581</v>
      </c>
      <c r="I28" s="66">
        <f>INDEX(res_cost!$T$3:$AC$35,MATCH($A28&amp;$B28&amp;$C28,res_cost!$AE$3:$AE$35,0),MATCH(I$2,res_cost!$T$2:$AC$2,0))</f>
        <v>0.11300991433991581</v>
      </c>
      <c r="J28" s="66">
        <f>INDEX(res_cost!$T$3:$AC$35,MATCH($A28&amp;$B28&amp;$C28,res_cost!$AE$3:$AE$35,0),MATCH(J$2,res_cost!$T$2:$AC$2,0))</f>
        <v>0.11300991433991581</v>
      </c>
      <c r="K28" s="66">
        <f>INDEX(res_cost!$T$3:$AC$35,MATCH($A28&amp;$B28&amp;$C28,res_cost!$AE$3:$AE$35,0),MATCH(K$2,res_cost!$T$2:$AC$2,0))</f>
        <v>0.11300991433991581</v>
      </c>
      <c r="L28" s="66">
        <f>INDEX(res_cost!$T$3:$AC$35,MATCH($A28&amp;$B28&amp;$C28,res_cost!$AE$3:$AE$35,0),MATCH(L$2,res_cost!$T$2:$AC$2,0))</f>
        <v>0.11300991433991581</v>
      </c>
      <c r="M28" s="66">
        <f>INDEX(res_cost!$T$3:$AC$35,MATCH($A28&amp;$B28&amp;$C28,res_cost!$AE$3:$AE$35,0),MATCH(M$2,res_cost!$T$2:$AC$2,0))</f>
        <v>0.11300991433991581</v>
      </c>
      <c r="N28" s="66">
        <f>INDEX(res_cost!$T$3:$AC$35,MATCH($A28&amp;$B28&amp;$C28,res_cost!$AE$3:$AE$35,0),MATCH(N$2,res_cost!$T$2:$AC$2,0))</f>
        <v>0.11300991433991581</v>
      </c>
    </row>
    <row r="29" spans="1:14" x14ac:dyDescent="0.2">
      <c r="A29" t="s">
        <v>78</v>
      </c>
      <c r="B29" t="s">
        <v>7</v>
      </c>
      <c r="C29" t="s">
        <v>112</v>
      </c>
      <c r="D29" s="65">
        <f t="shared" si="1"/>
        <v>43.075317043473461</v>
      </c>
      <c r="E29" s="66">
        <f>INDEX(res_cost!$T$3:$AC$35,MATCH($A29&amp;$B29&amp;$C29,res_cost!$AE$3:$AE$35,0),MATCH(E$2,res_cost!$T$2:$AC$2,0))</f>
        <v>43.075317043473461</v>
      </c>
      <c r="F29" s="66">
        <f>INDEX(res_cost!$T$3:$AC$35,MATCH($A29&amp;$B29&amp;$C29,res_cost!$AE$3:$AE$35,0),MATCH(F$2,res_cost!$T$2:$AC$2,0))</f>
        <v>43.075317043473461</v>
      </c>
      <c r="G29" s="66">
        <f>INDEX(res_cost!$T$3:$AC$35,MATCH($A29&amp;$B29&amp;$C29,res_cost!$AE$3:$AE$35,0),MATCH(G$2,res_cost!$T$2:$AC$2,0))</f>
        <v>43.075317043473461</v>
      </c>
      <c r="H29" s="66">
        <f>INDEX(res_cost!$T$3:$AC$35,MATCH($A29&amp;$B29&amp;$C29,res_cost!$AE$3:$AE$35,0),MATCH(H$2,res_cost!$T$2:$AC$2,0))</f>
        <v>43.075317043473461</v>
      </c>
      <c r="I29" s="66">
        <f>INDEX(res_cost!$T$3:$AC$35,MATCH($A29&amp;$B29&amp;$C29,res_cost!$AE$3:$AE$35,0),MATCH(I$2,res_cost!$T$2:$AC$2,0))</f>
        <v>43.075317043473461</v>
      </c>
      <c r="J29" s="66">
        <f>INDEX(res_cost!$T$3:$AC$35,MATCH($A29&amp;$B29&amp;$C29,res_cost!$AE$3:$AE$35,0),MATCH(J$2,res_cost!$T$2:$AC$2,0))</f>
        <v>43.075317043473461</v>
      </c>
      <c r="K29" s="66">
        <f>INDEX(res_cost!$T$3:$AC$35,MATCH($A29&amp;$B29&amp;$C29,res_cost!$AE$3:$AE$35,0),MATCH(K$2,res_cost!$T$2:$AC$2,0))</f>
        <v>43.075317043473461</v>
      </c>
      <c r="L29" s="66">
        <f>INDEX(res_cost!$T$3:$AC$35,MATCH($A29&amp;$B29&amp;$C29,res_cost!$AE$3:$AE$35,0),MATCH(L$2,res_cost!$T$2:$AC$2,0))</f>
        <v>43.075317043473461</v>
      </c>
      <c r="M29" s="66">
        <f>INDEX(res_cost!$T$3:$AC$35,MATCH($A29&amp;$B29&amp;$C29,res_cost!$AE$3:$AE$35,0),MATCH(M$2,res_cost!$T$2:$AC$2,0))</f>
        <v>43.075317043473461</v>
      </c>
      <c r="N29" s="66">
        <f>INDEX(res_cost!$T$3:$AC$35,MATCH($A29&amp;$B29&amp;$C29,res_cost!$AE$3:$AE$35,0),MATCH(N$2,res_cost!$T$2:$AC$2,0))</f>
        <v>43.075317043473461</v>
      </c>
    </row>
    <row r="30" spans="1:14" x14ac:dyDescent="0.2">
      <c r="A30" t="s">
        <v>78</v>
      </c>
      <c r="B30" t="s">
        <v>31</v>
      </c>
      <c r="C30" t="s">
        <v>110</v>
      </c>
      <c r="D30" s="65">
        <f t="shared" si="1"/>
        <v>20.69852896894179</v>
      </c>
      <c r="E30" s="66">
        <f>INDEX(res_cost!$T$3:$AC$35,MATCH($A30&amp;$B30&amp;$C30,res_cost!$AE$3:$AE$35,0),MATCH(E$2,res_cost!$T$2:$AC$2,0))</f>
        <v>20.69852896894179</v>
      </c>
      <c r="F30" s="66">
        <f>INDEX(res_cost!$T$3:$AC$35,MATCH($A30&amp;$B30&amp;$C30,res_cost!$AE$3:$AE$35,0),MATCH(F$2,res_cost!$T$2:$AC$2,0))</f>
        <v>20.69852896894179</v>
      </c>
      <c r="G30" s="66">
        <f>INDEX(res_cost!$T$3:$AC$35,MATCH($A30&amp;$B30&amp;$C30,res_cost!$AE$3:$AE$35,0),MATCH(G$2,res_cost!$T$2:$AC$2,0))</f>
        <v>20.69852896894179</v>
      </c>
      <c r="H30" s="66">
        <f>INDEX(res_cost!$T$3:$AC$35,MATCH($A30&amp;$B30&amp;$C30,res_cost!$AE$3:$AE$35,0),MATCH(H$2,res_cost!$T$2:$AC$2,0))</f>
        <v>20.69852896894179</v>
      </c>
      <c r="I30" s="66">
        <f>INDEX(res_cost!$T$3:$AC$35,MATCH($A30&amp;$B30&amp;$C30,res_cost!$AE$3:$AE$35,0),MATCH(I$2,res_cost!$T$2:$AC$2,0))</f>
        <v>20.69852896894179</v>
      </c>
      <c r="J30" s="66">
        <f>INDEX(res_cost!$T$3:$AC$35,MATCH($A30&amp;$B30&amp;$C30,res_cost!$AE$3:$AE$35,0),MATCH(J$2,res_cost!$T$2:$AC$2,0))</f>
        <v>20.69852896894179</v>
      </c>
      <c r="K30" s="66">
        <f>INDEX(res_cost!$T$3:$AC$35,MATCH($A30&amp;$B30&amp;$C30,res_cost!$AE$3:$AE$35,0),MATCH(K$2,res_cost!$T$2:$AC$2,0))</f>
        <v>20.69852896894179</v>
      </c>
      <c r="L30" s="66">
        <f>INDEX(res_cost!$T$3:$AC$35,MATCH($A30&amp;$B30&amp;$C30,res_cost!$AE$3:$AE$35,0),MATCH(L$2,res_cost!$T$2:$AC$2,0))</f>
        <v>20.69852896894179</v>
      </c>
      <c r="M30" s="66">
        <f>INDEX(res_cost!$T$3:$AC$35,MATCH($A30&amp;$B30&amp;$C30,res_cost!$AE$3:$AE$35,0),MATCH(M$2,res_cost!$T$2:$AC$2,0))</f>
        <v>20.69852896894179</v>
      </c>
      <c r="N30" s="66">
        <f>INDEX(res_cost!$T$3:$AC$35,MATCH($A30&amp;$B30&amp;$C30,res_cost!$AE$3:$AE$35,0),MATCH(N$2,res_cost!$T$2:$AC$2,0))</f>
        <v>20.69852896894179</v>
      </c>
    </row>
    <row r="31" spans="1:14" x14ac:dyDescent="0.2">
      <c r="A31" t="s">
        <v>78</v>
      </c>
      <c r="B31" t="s">
        <v>31</v>
      </c>
      <c r="C31" t="s">
        <v>111</v>
      </c>
      <c r="D31" s="65">
        <f t="shared" si="1"/>
        <v>20.69852896894179</v>
      </c>
      <c r="E31" s="66">
        <f>INDEX(res_cost!$T$3:$AC$35,MATCH($A31&amp;$B31&amp;$C31,res_cost!$AE$3:$AE$35,0),MATCH(E$2,res_cost!$T$2:$AC$2,0))</f>
        <v>20.69852896894179</v>
      </c>
      <c r="F31" s="66">
        <f>INDEX(res_cost!$T$3:$AC$35,MATCH($A31&amp;$B31&amp;$C31,res_cost!$AE$3:$AE$35,0),MATCH(F$2,res_cost!$T$2:$AC$2,0))</f>
        <v>20.69852896894179</v>
      </c>
      <c r="G31" s="66">
        <f>INDEX(res_cost!$T$3:$AC$35,MATCH($A31&amp;$B31&amp;$C31,res_cost!$AE$3:$AE$35,0),MATCH(G$2,res_cost!$T$2:$AC$2,0))</f>
        <v>20.69852896894179</v>
      </c>
      <c r="H31" s="66">
        <f>INDEX(res_cost!$T$3:$AC$35,MATCH($A31&amp;$B31&amp;$C31,res_cost!$AE$3:$AE$35,0),MATCH(H$2,res_cost!$T$2:$AC$2,0))</f>
        <v>20.69852896894179</v>
      </c>
      <c r="I31" s="66">
        <f>INDEX(res_cost!$T$3:$AC$35,MATCH($A31&amp;$B31&amp;$C31,res_cost!$AE$3:$AE$35,0),MATCH(I$2,res_cost!$T$2:$AC$2,0))</f>
        <v>20.69852896894179</v>
      </c>
      <c r="J31" s="66">
        <f>INDEX(res_cost!$T$3:$AC$35,MATCH($A31&amp;$B31&amp;$C31,res_cost!$AE$3:$AE$35,0),MATCH(J$2,res_cost!$T$2:$AC$2,0))</f>
        <v>20.69852896894179</v>
      </c>
      <c r="K31" s="66">
        <f>INDEX(res_cost!$T$3:$AC$35,MATCH($A31&amp;$B31&amp;$C31,res_cost!$AE$3:$AE$35,0),MATCH(K$2,res_cost!$T$2:$AC$2,0))</f>
        <v>20.69852896894179</v>
      </c>
      <c r="L31" s="66">
        <f>INDEX(res_cost!$T$3:$AC$35,MATCH($A31&amp;$B31&amp;$C31,res_cost!$AE$3:$AE$35,0),MATCH(L$2,res_cost!$T$2:$AC$2,0))</f>
        <v>20.69852896894179</v>
      </c>
      <c r="M31" s="66">
        <f>INDEX(res_cost!$T$3:$AC$35,MATCH($A31&amp;$B31&amp;$C31,res_cost!$AE$3:$AE$35,0),MATCH(M$2,res_cost!$T$2:$AC$2,0))</f>
        <v>20.69852896894179</v>
      </c>
      <c r="N31" s="66">
        <f>INDEX(res_cost!$T$3:$AC$35,MATCH($A31&amp;$B31&amp;$C31,res_cost!$AE$3:$AE$35,0),MATCH(N$2,res_cost!$T$2:$AC$2,0))</f>
        <v>20.69852896894179</v>
      </c>
    </row>
    <row r="32" spans="1:14" x14ac:dyDescent="0.2">
      <c r="A32" t="s">
        <v>78</v>
      </c>
      <c r="B32" t="s">
        <v>8</v>
      </c>
      <c r="C32" t="s">
        <v>113</v>
      </c>
      <c r="D32">
        <v>12.946999999999999</v>
      </c>
      <c r="E32">
        <v>12.946999999999999</v>
      </c>
      <c r="F32">
        <v>12.946999999999999</v>
      </c>
      <c r="G32">
        <v>12.946999999999999</v>
      </c>
      <c r="H32">
        <v>12.946999999999999</v>
      </c>
      <c r="I32">
        <v>12.946999999999999</v>
      </c>
      <c r="J32">
        <v>12.946999999999999</v>
      </c>
      <c r="K32">
        <v>12.946999999999999</v>
      </c>
      <c r="L32">
        <v>12.946999999999999</v>
      </c>
      <c r="M32">
        <v>12.946999999999999</v>
      </c>
      <c r="N32">
        <v>12.946999999999999</v>
      </c>
    </row>
    <row r="33" spans="1:14" x14ac:dyDescent="0.2">
      <c r="A33" t="s">
        <v>78</v>
      </c>
      <c r="B33" t="s">
        <v>8</v>
      </c>
      <c r="C33" t="s">
        <v>114</v>
      </c>
      <c r="D33">
        <v>14.797000000000001</v>
      </c>
      <c r="E33">
        <v>14.797000000000001</v>
      </c>
      <c r="F33">
        <v>14.797000000000001</v>
      </c>
      <c r="G33">
        <v>14.797000000000001</v>
      </c>
      <c r="H33">
        <v>14.797000000000001</v>
      </c>
      <c r="I33">
        <v>14.797000000000001</v>
      </c>
      <c r="J33">
        <v>14.797000000000001</v>
      </c>
      <c r="K33">
        <v>14.797000000000001</v>
      </c>
      <c r="L33">
        <v>14.797000000000001</v>
      </c>
      <c r="M33">
        <v>14.797000000000001</v>
      </c>
      <c r="N33">
        <v>14.797000000000001</v>
      </c>
    </row>
    <row r="34" spans="1:14" x14ac:dyDescent="0.2">
      <c r="A34" t="s">
        <v>77</v>
      </c>
      <c r="B34" t="s">
        <v>7</v>
      </c>
      <c r="C34" t="s">
        <v>3</v>
      </c>
      <c r="D34" s="65">
        <f t="shared" si="1"/>
        <v>2.9210361048823498E-2</v>
      </c>
      <c r="E34" s="66">
        <f>INDEX(res_cost!$T$3:$AC$35,MATCH($A34&amp;$B34&amp;$C34,res_cost!$AE$3:$AE$35,0),MATCH(E$2,res_cost!$T$2:$AC$2,0))</f>
        <v>2.9210361048823498E-2</v>
      </c>
      <c r="F34" s="66">
        <f>INDEX(res_cost!$T$3:$AC$35,MATCH($A34&amp;$B34&amp;$C34,res_cost!$AE$3:$AE$35,0),MATCH(F$2,res_cost!$T$2:$AC$2,0))</f>
        <v>2.9210361048823498E-2</v>
      </c>
      <c r="G34" s="66">
        <f>INDEX(res_cost!$T$3:$AC$35,MATCH($A34&amp;$B34&amp;$C34,res_cost!$AE$3:$AE$35,0),MATCH(G$2,res_cost!$T$2:$AC$2,0))</f>
        <v>2.9210361048823498E-2</v>
      </c>
      <c r="H34" s="66">
        <f>INDEX(res_cost!$T$3:$AC$35,MATCH($A34&amp;$B34&amp;$C34,res_cost!$AE$3:$AE$35,0),MATCH(H$2,res_cost!$T$2:$AC$2,0))</f>
        <v>2.9210361048823498E-2</v>
      </c>
      <c r="I34" s="66">
        <f>INDEX(res_cost!$T$3:$AC$35,MATCH($A34&amp;$B34&amp;$C34,res_cost!$AE$3:$AE$35,0),MATCH(I$2,res_cost!$T$2:$AC$2,0))</f>
        <v>2.9210361048823498E-2</v>
      </c>
      <c r="J34" s="66">
        <f>INDEX(res_cost!$T$3:$AC$35,MATCH($A34&amp;$B34&amp;$C34,res_cost!$AE$3:$AE$35,0),MATCH(J$2,res_cost!$T$2:$AC$2,0))</f>
        <v>2.9210361048823498E-2</v>
      </c>
      <c r="K34" s="66">
        <f>INDEX(res_cost!$T$3:$AC$35,MATCH($A34&amp;$B34&amp;$C34,res_cost!$AE$3:$AE$35,0),MATCH(K$2,res_cost!$T$2:$AC$2,0))</f>
        <v>2.9210361048823498E-2</v>
      </c>
      <c r="L34" s="66">
        <f>INDEX(res_cost!$T$3:$AC$35,MATCH($A34&amp;$B34&amp;$C34,res_cost!$AE$3:$AE$35,0),MATCH(L$2,res_cost!$T$2:$AC$2,0))</f>
        <v>2.9210361048823498E-2</v>
      </c>
      <c r="M34" s="66">
        <f>INDEX(res_cost!$T$3:$AC$35,MATCH($A34&amp;$B34&amp;$C34,res_cost!$AE$3:$AE$35,0),MATCH(M$2,res_cost!$T$2:$AC$2,0))</f>
        <v>2.9210361048823498E-2</v>
      </c>
      <c r="N34" s="66">
        <f>INDEX(res_cost!$T$3:$AC$35,MATCH($A34&amp;$B34&amp;$C34,res_cost!$AE$3:$AE$35,0),MATCH(N$2,res_cost!$T$2:$AC$2,0))</f>
        <v>2.9210361048823498E-2</v>
      </c>
    </row>
    <row r="35" spans="1:14" x14ac:dyDescent="0.2">
      <c r="A35" t="s">
        <v>77</v>
      </c>
      <c r="B35" t="s">
        <v>7</v>
      </c>
      <c r="C35" t="s">
        <v>4</v>
      </c>
      <c r="D35" s="65">
        <f t="shared" si="1"/>
        <v>3.5431086086998881E-2</v>
      </c>
      <c r="E35" s="66">
        <f>INDEX(res_cost!$T$3:$AC$35,MATCH($A35&amp;$B35&amp;$C35,res_cost!$AE$3:$AE$35,0),MATCH(E$2,res_cost!$T$2:$AC$2,0))</f>
        <v>3.5431086086998881E-2</v>
      </c>
      <c r="F35" s="66">
        <f>INDEX(res_cost!$T$3:$AC$35,MATCH($A35&amp;$B35&amp;$C35,res_cost!$AE$3:$AE$35,0),MATCH(F$2,res_cost!$T$2:$AC$2,0))</f>
        <v>3.5431086086998881E-2</v>
      </c>
      <c r="G35" s="66">
        <f>INDEX(res_cost!$T$3:$AC$35,MATCH($A35&amp;$B35&amp;$C35,res_cost!$AE$3:$AE$35,0),MATCH(G$2,res_cost!$T$2:$AC$2,0))</f>
        <v>3.5431086086998881E-2</v>
      </c>
      <c r="H35" s="66">
        <f>INDEX(res_cost!$T$3:$AC$35,MATCH($A35&amp;$B35&amp;$C35,res_cost!$AE$3:$AE$35,0),MATCH(H$2,res_cost!$T$2:$AC$2,0))</f>
        <v>3.5431086086998881E-2</v>
      </c>
      <c r="I35" s="66">
        <f>INDEX(res_cost!$T$3:$AC$35,MATCH($A35&amp;$B35&amp;$C35,res_cost!$AE$3:$AE$35,0),MATCH(I$2,res_cost!$T$2:$AC$2,0))</f>
        <v>3.5431086086998881E-2</v>
      </c>
      <c r="J35" s="66">
        <f>INDEX(res_cost!$T$3:$AC$35,MATCH($A35&amp;$B35&amp;$C35,res_cost!$AE$3:$AE$35,0),MATCH(J$2,res_cost!$T$2:$AC$2,0))</f>
        <v>3.5431086086998881E-2</v>
      </c>
      <c r="K35" s="66">
        <f>INDEX(res_cost!$T$3:$AC$35,MATCH($A35&amp;$B35&amp;$C35,res_cost!$AE$3:$AE$35,0),MATCH(K$2,res_cost!$T$2:$AC$2,0))</f>
        <v>3.5431086086998881E-2</v>
      </c>
      <c r="L35" s="66">
        <f>INDEX(res_cost!$T$3:$AC$35,MATCH($A35&amp;$B35&amp;$C35,res_cost!$AE$3:$AE$35,0),MATCH(L$2,res_cost!$T$2:$AC$2,0))</f>
        <v>3.5431086086998881E-2</v>
      </c>
      <c r="M35" s="66">
        <f>INDEX(res_cost!$T$3:$AC$35,MATCH($A35&amp;$B35&amp;$C35,res_cost!$AE$3:$AE$35,0),MATCH(M$2,res_cost!$T$2:$AC$2,0))</f>
        <v>3.5431086086998881E-2</v>
      </c>
      <c r="N35" s="66">
        <f>INDEX(res_cost!$T$3:$AC$35,MATCH($A35&amp;$B35&amp;$C35,res_cost!$AE$3:$AE$35,0),MATCH(N$2,res_cost!$T$2:$AC$2,0))</f>
        <v>3.5431086086998881E-2</v>
      </c>
    </row>
    <row r="36" spans="1:14" x14ac:dyDescent="0.2">
      <c r="A36" t="s">
        <v>77</v>
      </c>
      <c r="B36" t="s">
        <v>31</v>
      </c>
      <c r="C36" t="s">
        <v>3</v>
      </c>
      <c r="D36" s="65">
        <f t="shared" si="1"/>
        <v>3.57015523930065E-2</v>
      </c>
      <c r="E36" s="66">
        <f>INDEX(res_cost!$T$3:$AC$35,MATCH($A36&amp;$B36&amp;$C36,res_cost!$AE$3:$AE$35,0),MATCH(E$2,res_cost!$T$2:$AC$2,0))</f>
        <v>3.57015523930065E-2</v>
      </c>
      <c r="F36" s="66">
        <f>INDEX(res_cost!$T$3:$AC$35,MATCH($A36&amp;$B36&amp;$C36,res_cost!$AE$3:$AE$35,0),MATCH(F$2,res_cost!$T$2:$AC$2,0))</f>
        <v>3.57015523930065E-2</v>
      </c>
      <c r="G36" s="66">
        <f>INDEX(res_cost!$T$3:$AC$35,MATCH($A36&amp;$B36&amp;$C36,res_cost!$AE$3:$AE$35,0),MATCH(G$2,res_cost!$T$2:$AC$2,0))</f>
        <v>3.57015523930065E-2</v>
      </c>
      <c r="H36" s="66">
        <f>INDEX(res_cost!$T$3:$AC$35,MATCH($A36&amp;$B36&amp;$C36,res_cost!$AE$3:$AE$35,0),MATCH(H$2,res_cost!$T$2:$AC$2,0))</f>
        <v>3.57015523930065E-2</v>
      </c>
      <c r="I36" s="66">
        <f>INDEX(res_cost!$T$3:$AC$35,MATCH($A36&amp;$B36&amp;$C36,res_cost!$AE$3:$AE$35,0),MATCH(I$2,res_cost!$T$2:$AC$2,0))</f>
        <v>3.57015523930065E-2</v>
      </c>
      <c r="J36" s="66">
        <f>INDEX(res_cost!$T$3:$AC$35,MATCH($A36&amp;$B36&amp;$C36,res_cost!$AE$3:$AE$35,0),MATCH(J$2,res_cost!$T$2:$AC$2,0))</f>
        <v>3.57015523930065E-2</v>
      </c>
      <c r="K36" s="66">
        <f>INDEX(res_cost!$T$3:$AC$35,MATCH($A36&amp;$B36&amp;$C36,res_cost!$AE$3:$AE$35,0),MATCH(K$2,res_cost!$T$2:$AC$2,0))</f>
        <v>3.57015523930065E-2</v>
      </c>
      <c r="L36" s="66">
        <f>INDEX(res_cost!$T$3:$AC$35,MATCH($A36&amp;$B36&amp;$C36,res_cost!$AE$3:$AE$35,0),MATCH(L$2,res_cost!$T$2:$AC$2,0))</f>
        <v>3.57015523930065E-2</v>
      </c>
      <c r="M36" s="66">
        <f>INDEX(res_cost!$T$3:$AC$35,MATCH($A36&amp;$B36&amp;$C36,res_cost!$AE$3:$AE$35,0),MATCH(M$2,res_cost!$T$2:$AC$2,0))</f>
        <v>3.57015523930065E-2</v>
      </c>
      <c r="N36" s="66">
        <f>INDEX(res_cost!$T$3:$AC$35,MATCH($A36&amp;$B36&amp;$C36,res_cost!$AE$3:$AE$35,0),MATCH(N$2,res_cost!$T$2:$AC$2,0))</f>
        <v>3.57015523930065E-2</v>
      </c>
    </row>
    <row r="37" spans="1:14" x14ac:dyDescent="0.2">
      <c r="A37" t="s">
        <v>74</v>
      </c>
      <c r="B37" t="s">
        <v>7</v>
      </c>
      <c r="C37" t="s">
        <v>5</v>
      </c>
      <c r="D37" s="65">
        <f t="shared" si="1"/>
        <v>0.12301097382554652</v>
      </c>
      <c r="E37" s="66">
        <f>INDEX(res_cost!$T$3:$AC$35,MATCH($A37&amp;$B37&amp;$C37,res_cost!$AE$3:$AE$35,0),MATCH(E$2,res_cost!$T$2:$AC$2,0))</f>
        <v>0.12301097382554652</v>
      </c>
      <c r="F37" s="66">
        <f>INDEX(res_cost!$T$3:$AC$35,MATCH($A37&amp;$B37&amp;$C37,res_cost!$AE$3:$AE$35,0),MATCH(F$2,res_cost!$T$2:$AC$2,0))</f>
        <v>0.12301097382554652</v>
      </c>
      <c r="G37" s="66">
        <f>INDEX(res_cost!$T$3:$AC$35,MATCH($A37&amp;$B37&amp;$C37,res_cost!$AE$3:$AE$35,0),MATCH(G$2,res_cost!$T$2:$AC$2,0))</f>
        <v>0.12301097382554652</v>
      </c>
      <c r="H37" s="66">
        <f>INDEX(res_cost!$T$3:$AC$35,MATCH($A37&amp;$B37&amp;$C37,res_cost!$AE$3:$AE$35,0),MATCH(H$2,res_cost!$T$2:$AC$2,0))</f>
        <v>0.12301097382554652</v>
      </c>
      <c r="I37" s="66">
        <f>INDEX(res_cost!$T$3:$AC$35,MATCH($A37&amp;$B37&amp;$C37,res_cost!$AE$3:$AE$35,0),MATCH(I$2,res_cost!$T$2:$AC$2,0))</f>
        <v>0.12652557307770501</v>
      </c>
      <c r="J37" s="66">
        <f>INDEX(res_cost!$T$3:$AC$35,MATCH($A37&amp;$B37&amp;$C37,res_cost!$AE$3:$AE$35,0),MATCH(J$2,res_cost!$T$2:$AC$2,0))</f>
        <v>0.12652557307770501</v>
      </c>
      <c r="K37" s="66">
        <f>INDEX(res_cost!$T$3:$AC$35,MATCH($A37&amp;$B37&amp;$C37,res_cost!$AE$3:$AE$35,0),MATCH(K$2,res_cost!$T$2:$AC$2,0))</f>
        <v>0.12652557307770501</v>
      </c>
      <c r="L37" s="66">
        <f>INDEX(res_cost!$T$3:$AC$35,MATCH($A37&amp;$B37&amp;$C37,res_cost!$AE$3:$AE$35,0),MATCH(L$2,res_cost!$T$2:$AC$2,0))</f>
        <v>0.12652557307770501</v>
      </c>
      <c r="M37" s="66">
        <f>INDEX(res_cost!$T$3:$AC$35,MATCH($A37&amp;$B37&amp;$C37,res_cost!$AE$3:$AE$35,0),MATCH(M$2,res_cost!$T$2:$AC$2,0))</f>
        <v>0.12652557307770501</v>
      </c>
      <c r="N37" s="66">
        <f>INDEX(res_cost!$T$3:$AC$35,MATCH($A37&amp;$B37&amp;$C37,res_cost!$AE$3:$AE$35,0),MATCH(N$2,res_cost!$T$2:$AC$2,0))</f>
        <v>0.12652557307770501</v>
      </c>
    </row>
    <row r="38" spans="1:14" x14ac:dyDescent="0.2">
      <c r="A38" t="s">
        <v>74</v>
      </c>
      <c r="B38" t="s">
        <v>7</v>
      </c>
      <c r="C38" t="s">
        <v>6</v>
      </c>
      <c r="D38" s="65">
        <f t="shared" si="1"/>
        <v>0.12301097382554652</v>
      </c>
      <c r="E38" s="66">
        <f>INDEX(res_cost!$T$3:$AC$35,MATCH($A38&amp;$B38&amp;$C38,res_cost!$AE$3:$AE$35,0),MATCH(E$2,res_cost!$T$2:$AC$2,0))</f>
        <v>0.12301097382554652</v>
      </c>
      <c r="F38" s="66">
        <f>INDEX(res_cost!$T$3:$AC$35,MATCH($A38&amp;$B38&amp;$C38,res_cost!$AE$3:$AE$35,0),MATCH(F$2,res_cost!$T$2:$AC$2,0))</f>
        <v>0.12301097382554652</v>
      </c>
      <c r="G38" s="66">
        <f>INDEX(res_cost!$T$3:$AC$35,MATCH($A38&amp;$B38&amp;$C38,res_cost!$AE$3:$AE$35,0),MATCH(G$2,res_cost!$T$2:$AC$2,0))</f>
        <v>0.12301097382554652</v>
      </c>
      <c r="H38" s="66">
        <f>INDEX(res_cost!$T$3:$AC$35,MATCH($A38&amp;$B38&amp;$C38,res_cost!$AE$3:$AE$35,0),MATCH(H$2,res_cost!$T$2:$AC$2,0))</f>
        <v>0.12301097382554652</v>
      </c>
      <c r="I38" s="66">
        <f>INDEX(res_cost!$T$3:$AC$35,MATCH($A38&amp;$B38&amp;$C38,res_cost!$AE$3:$AE$35,0),MATCH(I$2,res_cost!$T$2:$AC$2,0))</f>
        <v>0.12652557307770501</v>
      </c>
      <c r="J38" s="66">
        <f>INDEX(res_cost!$T$3:$AC$35,MATCH($A38&amp;$B38&amp;$C38,res_cost!$AE$3:$AE$35,0),MATCH(J$2,res_cost!$T$2:$AC$2,0))</f>
        <v>0.12652557307770501</v>
      </c>
      <c r="K38" s="66">
        <f>INDEX(res_cost!$T$3:$AC$35,MATCH($A38&amp;$B38&amp;$C38,res_cost!$AE$3:$AE$35,0),MATCH(K$2,res_cost!$T$2:$AC$2,0))</f>
        <v>0.12652557307770501</v>
      </c>
      <c r="L38" s="66">
        <f>INDEX(res_cost!$T$3:$AC$35,MATCH($A38&amp;$B38&amp;$C38,res_cost!$AE$3:$AE$35,0),MATCH(L$2,res_cost!$T$2:$AC$2,0))</f>
        <v>0.12652557307770501</v>
      </c>
      <c r="M38" s="66">
        <f>INDEX(res_cost!$T$3:$AC$35,MATCH($A38&amp;$B38&amp;$C38,res_cost!$AE$3:$AE$35,0),MATCH(M$2,res_cost!$T$2:$AC$2,0))</f>
        <v>0.12652557307770501</v>
      </c>
      <c r="N38" s="66">
        <f>INDEX(res_cost!$T$3:$AC$35,MATCH($A38&amp;$B38&amp;$C38,res_cost!$AE$3:$AE$35,0),MATCH(N$2,res_cost!$T$2:$AC$2,0))</f>
        <v>0.12652557307770501</v>
      </c>
    </row>
    <row r="39" spans="1:14" x14ac:dyDescent="0.2">
      <c r="A39" t="s">
        <v>80</v>
      </c>
      <c r="B39" t="s">
        <v>7</v>
      </c>
      <c r="C39" t="s">
        <v>7</v>
      </c>
      <c r="D39" s="64">
        <f t="shared" si="1"/>
        <v>20</v>
      </c>
      <c r="E39">
        <f t="shared" ref="E39:N39" si="2">E43</f>
        <v>20</v>
      </c>
      <c r="F39">
        <f t="shared" si="2"/>
        <v>20</v>
      </c>
      <c r="G39">
        <f t="shared" si="2"/>
        <v>20</v>
      </c>
      <c r="H39">
        <f t="shared" ref="H39:I39" si="3">H43</f>
        <v>20</v>
      </c>
      <c r="I39">
        <f t="shared" si="3"/>
        <v>20</v>
      </c>
      <c r="J39">
        <f t="shared" si="2"/>
        <v>20</v>
      </c>
      <c r="K39">
        <f t="shared" si="2"/>
        <v>20</v>
      </c>
      <c r="L39">
        <v>20</v>
      </c>
      <c r="M39">
        <v>20</v>
      </c>
      <c r="N39">
        <f t="shared" si="2"/>
        <v>20</v>
      </c>
    </row>
    <row r="40" spans="1:14" x14ac:dyDescent="0.2">
      <c r="A40" t="s">
        <v>81</v>
      </c>
      <c r="B40" t="s">
        <v>7</v>
      </c>
      <c r="C40" t="s">
        <v>7</v>
      </c>
      <c r="D40" s="64">
        <f t="shared" si="1"/>
        <v>20</v>
      </c>
      <c r="E40">
        <f t="shared" ref="E40:N40" si="4">E43</f>
        <v>20</v>
      </c>
      <c r="F40">
        <f t="shared" si="4"/>
        <v>20</v>
      </c>
      <c r="G40">
        <f t="shared" si="4"/>
        <v>20</v>
      </c>
      <c r="H40">
        <f t="shared" ref="H40:I40" si="5">H43</f>
        <v>20</v>
      </c>
      <c r="I40">
        <f t="shared" si="5"/>
        <v>20</v>
      </c>
      <c r="J40">
        <f t="shared" si="4"/>
        <v>20</v>
      </c>
      <c r="K40">
        <f t="shared" si="4"/>
        <v>20</v>
      </c>
      <c r="L40">
        <v>20</v>
      </c>
      <c r="M40">
        <v>20</v>
      </c>
      <c r="N40">
        <f t="shared" si="4"/>
        <v>20</v>
      </c>
    </row>
    <row r="41" spans="1:14" x14ac:dyDescent="0.2">
      <c r="A41" t="s">
        <v>82</v>
      </c>
      <c r="B41" t="s">
        <v>7</v>
      </c>
      <c r="C41" t="s">
        <v>7</v>
      </c>
      <c r="D41" s="64">
        <f t="shared" si="1"/>
        <v>20</v>
      </c>
      <c r="E41">
        <f t="shared" ref="E41:N41" si="6">E43</f>
        <v>20</v>
      </c>
      <c r="F41">
        <f t="shared" si="6"/>
        <v>20</v>
      </c>
      <c r="G41">
        <f t="shared" si="6"/>
        <v>20</v>
      </c>
      <c r="H41">
        <f t="shared" ref="H41:I41" si="7">H43</f>
        <v>20</v>
      </c>
      <c r="I41">
        <f t="shared" si="7"/>
        <v>20</v>
      </c>
      <c r="J41">
        <f t="shared" si="6"/>
        <v>20</v>
      </c>
      <c r="K41">
        <f t="shared" si="6"/>
        <v>20</v>
      </c>
      <c r="L41">
        <v>20</v>
      </c>
      <c r="M41">
        <v>20</v>
      </c>
      <c r="N41">
        <f t="shared" si="6"/>
        <v>20</v>
      </c>
    </row>
    <row r="42" spans="1:14" x14ac:dyDescent="0.2">
      <c r="A42" t="s">
        <v>83</v>
      </c>
      <c r="B42" t="s">
        <v>31</v>
      </c>
      <c r="C42" t="s">
        <v>31</v>
      </c>
      <c r="D42" s="64">
        <f t="shared" si="1"/>
        <v>20</v>
      </c>
      <c r="E42">
        <v>20</v>
      </c>
      <c r="F42">
        <v>19.702000000000002</v>
      </c>
      <c r="G42">
        <v>19.408999999999999</v>
      </c>
      <c r="H42">
        <v>19.408999999999999</v>
      </c>
      <c r="I42">
        <v>19.408999999999999</v>
      </c>
      <c r="J42">
        <v>19.12</v>
      </c>
      <c r="K42">
        <v>18.835000000000001</v>
      </c>
      <c r="L42">
        <f>K42</f>
        <v>18.835000000000001</v>
      </c>
      <c r="M42">
        <f>L42</f>
        <v>18.835000000000001</v>
      </c>
      <c r="N42">
        <v>18.277999999999999</v>
      </c>
    </row>
    <row r="43" spans="1:14" x14ac:dyDescent="0.2">
      <c r="A43" t="s">
        <v>83</v>
      </c>
      <c r="B43" t="s">
        <v>7</v>
      </c>
      <c r="C43" t="s">
        <v>7</v>
      </c>
      <c r="D43" s="64">
        <f t="shared" si="1"/>
        <v>20</v>
      </c>
      <c r="E43">
        <v>20</v>
      </c>
      <c r="F43">
        <v>20</v>
      </c>
      <c r="G43">
        <v>20</v>
      </c>
      <c r="H43">
        <v>20</v>
      </c>
      <c r="I43">
        <v>20</v>
      </c>
      <c r="J43">
        <v>20</v>
      </c>
      <c r="K43">
        <v>20</v>
      </c>
      <c r="L43">
        <f t="shared" ref="L43:M46" si="8">K43</f>
        <v>20</v>
      </c>
      <c r="M43">
        <f t="shared" si="8"/>
        <v>20</v>
      </c>
      <c r="N43">
        <v>20</v>
      </c>
    </row>
    <row r="44" spans="1:14" x14ac:dyDescent="0.2">
      <c r="A44" t="s">
        <v>83</v>
      </c>
      <c r="B44" t="s">
        <v>8</v>
      </c>
      <c r="C44" t="s">
        <v>8</v>
      </c>
      <c r="D44" s="64">
        <f t="shared" si="1"/>
        <v>20</v>
      </c>
      <c r="E44">
        <v>20</v>
      </c>
      <c r="F44">
        <v>19.702000000000002</v>
      </c>
      <c r="G44">
        <v>19.408999999999999</v>
      </c>
      <c r="H44">
        <v>19.408999999999999</v>
      </c>
      <c r="I44">
        <v>19.408999999999999</v>
      </c>
      <c r="J44">
        <v>19.12</v>
      </c>
      <c r="K44">
        <v>18.835000000000001</v>
      </c>
      <c r="L44">
        <f t="shared" si="8"/>
        <v>18.835000000000001</v>
      </c>
      <c r="M44">
        <f t="shared" si="8"/>
        <v>18.835000000000001</v>
      </c>
      <c r="N44">
        <v>18.277999999999999</v>
      </c>
    </row>
    <row r="45" spans="1:14" x14ac:dyDescent="0.2">
      <c r="A45" t="s">
        <v>53</v>
      </c>
      <c r="B45" t="s">
        <v>105</v>
      </c>
      <c r="C45" t="s">
        <v>106</v>
      </c>
      <c r="D45" s="64">
        <f t="shared" si="1"/>
        <v>1.335</v>
      </c>
      <c r="E45">
        <v>1.335</v>
      </c>
      <c r="F45">
        <v>1.335</v>
      </c>
      <c r="G45">
        <v>1.3149999999999999</v>
      </c>
      <c r="H45">
        <v>1.3149999999999999</v>
      </c>
      <c r="I45">
        <v>1.3149999999999999</v>
      </c>
      <c r="J45">
        <v>1.2949999999999999</v>
      </c>
      <c r="K45">
        <v>1.276</v>
      </c>
      <c r="L45">
        <f t="shared" si="8"/>
        <v>1.276</v>
      </c>
      <c r="M45">
        <f t="shared" si="8"/>
        <v>1.276</v>
      </c>
      <c r="N45">
        <v>1.238</v>
      </c>
    </row>
    <row r="46" spans="1:14" x14ac:dyDescent="0.2">
      <c r="A46" t="s">
        <v>53</v>
      </c>
      <c r="B46" t="s">
        <v>107</v>
      </c>
      <c r="C46" t="s">
        <v>108</v>
      </c>
      <c r="D46" s="64">
        <f t="shared" si="1"/>
        <v>1.355</v>
      </c>
      <c r="E46">
        <v>1.355</v>
      </c>
      <c r="F46">
        <v>1.335</v>
      </c>
      <c r="G46">
        <v>1.3149999999999999</v>
      </c>
      <c r="H46">
        <v>1.3149999999999999</v>
      </c>
      <c r="I46">
        <v>1.3149999999999999</v>
      </c>
      <c r="J46">
        <v>1.2949999999999999</v>
      </c>
      <c r="K46">
        <v>1.276</v>
      </c>
      <c r="L46">
        <f t="shared" si="8"/>
        <v>1.276</v>
      </c>
      <c r="M46">
        <f t="shared" si="8"/>
        <v>1.276</v>
      </c>
      <c r="N46">
        <v>1.238</v>
      </c>
    </row>
    <row r="47" spans="1:14" x14ac:dyDescent="0.2">
      <c r="A47" t="s">
        <v>53</v>
      </c>
      <c r="B47" t="s">
        <v>31</v>
      </c>
      <c r="C47" t="s">
        <v>15</v>
      </c>
      <c r="D47" s="64">
        <f t="shared" si="1"/>
        <v>0.79313873038931293</v>
      </c>
      <c r="E47" s="66">
        <f>INDEX(comm_cost!$V$3:$AE$26,MATCH($A47&amp;$B47&amp;$C47,comm_cost!$AF$3:$AF$26,0),MATCH(E$2,comm_cost!$V$2:$AE$2,0))</f>
        <v>0.79313873038931293</v>
      </c>
      <c r="F47" s="66">
        <f>INDEX(comm_cost!$V$3:$AE$26,MATCH($A47&amp;$B47&amp;$C47,comm_cost!$AF$3:$AF$26,0),MATCH(F$2,comm_cost!$V$2:$AE$2,0))</f>
        <v>0.79313873038931293</v>
      </c>
      <c r="G47" s="66">
        <f>INDEX(comm_cost!$V$3:$AE$26,MATCH($A47&amp;$B47&amp;$C47,comm_cost!$AF$3:$AF$26,0),MATCH(G$2,comm_cost!$V$2:$AE$2,0))</f>
        <v>0.79313873038931293</v>
      </c>
      <c r="H47" s="66">
        <f>INDEX(comm_cost!$V$3:$AE$26,MATCH($A47&amp;$B47&amp;$C47,comm_cost!$AF$3:$AF$26,0),MATCH(H$2,comm_cost!$V$2:$AE$2,0))</f>
        <v>0.7976908326597244</v>
      </c>
      <c r="I47" s="66">
        <f>INDEX(comm_cost!$V$3:$AE$26,MATCH($A47&amp;$B47&amp;$C47,comm_cost!$AF$3:$AF$26,0),MATCH(I$2,comm_cost!$V$2:$AE$2,0))</f>
        <v>0.80032249302611136</v>
      </c>
      <c r="J47" s="66">
        <f>INDEX(comm_cost!$V$3:$AE$26,MATCH($A47&amp;$B47&amp;$C47,comm_cost!$AF$3:$AF$26,0),MATCH(J$2,comm_cost!$V$2:$AE$2,0))</f>
        <v>0.80235172246232189</v>
      </c>
      <c r="K47" s="66">
        <f>INDEX(comm_cost!$V$3:$AE$26,MATCH($A47&amp;$B47&amp;$C47,comm_cost!$AF$3:$AF$26,0),MATCH(K$2,comm_cost!$V$2:$AE$2,0))</f>
        <v>0.80365856730030394</v>
      </c>
      <c r="L47" s="66">
        <f>INDEX(comm_cost!$V$3:$AE$26,MATCH($A47&amp;$B47&amp;$C47,comm_cost!$AF$3:$AF$26,0),MATCH(L$2,comm_cost!$V$2:$AE$2,0))</f>
        <v>0.80464487011161989</v>
      </c>
      <c r="M47" s="66">
        <f>INDEX(comm_cost!$V$3:$AE$26,MATCH($A47&amp;$B47&amp;$C47,comm_cost!$AF$3:$AF$26,0),MATCH(M$2,comm_cost!$V$2:$AE$2,0))</f>
        <v>0.80549106589461927</v>
      </c>
      <c r="N47" s="66">
        <f>INDEX(comm_cost!$V$3:$AE$26,MATCH($A47&amp;$B47&amp;$C47,comm_cost!$AF$3:$AF$26,0),MATCH(N$2,comm_cost!$V$2:$AE$2,0))</f>
        <v>0.80549106589461927</v>
      </c>
    </row>
    <row r="48" spans="1:14" x14ac:dyDescent="0.2">
      <c r="A48" t="s">
        <v>53</v>
      </c>
      <c r="B48" t="s">
        <v>31</v>
      </c>
      <c r="C48" t="s">
        <v>16</v>
      </c>
      <c r="D48" s="64">
        <f t="shared" si="1"/>
        <v>1.2350522683917557</v>
      </c>
      <c r="E48" s="66">
        <f>INDEX(comm_cost!$V$3:$AE$26,MATCH($A48&amp;$B48&amp;$C48,comm_cost!$AF$3:$AF$26,0),MATCH(E$2,comm_cost!$V$2:$AE$2,0))</f>
        <v>1.2350522683917557</v>
      </c>
      <c r="F48" s="66">
        <f>INDEX(comm_cost!$V$3:$AE$26,MATCH($A48&amp;$B48&amp;$C48,comm_cost!$AF$3:$AF$26,0),MATCH(F$2,comm_cost!$V$2:$AE$2,0))</f>
        <v>1.2350522683917557</v>
      </c>
      <c r="G48" s="66">
        <f>INDEX(comm_cost!$V$3:$AE$26,MATCH($A48&amp;$B48&amp;$C48,comm_cost!$AF$3:$AF$26,0),MATCH(G$2,comm_cost!$V$2:$AE$2,0))</f>
        <v>1.2350522683917557</v>
      </c>
      <c r="H48" s="66">
        <f>INDEX(comm_cost!$V$3:$AE$26,MATCH($A48&amp;$B48&amp;$C48,comm_cost!$AF$3:$AF$26,0),MATCH(H$2,comm_cost!$V$2:$AE$2,0))</f>
        <v>1.2396043706621673</v>
      </c>
      <c r="I48" s="66">
        <f>INDEX(comm_cost!$V$3:$AE$26,MATCH($A48&amp;$B48&amp;$C48,comm_cost!$AF$3:$AF$26,0),MATCH(I$2,comm_cost!$V$2:$AE$2,0))</f>
        <v>1.2422360310285541</v>
      </c>
      <c r="J48" s="66">
        <f>INDEX(comm_cost!$V$3:$AE$26,MATCH($A48&amp;$B48&amp;$C48,comm_cost!$AF$3:$AF$26,0),MATCH(J$2,comm_cost!$V$2:$AE$2,0))</f>
        <v>1.2442652604647646</v>
      </c>
      <c r="K48" s="66">
        <f>INDEX(comm_cost!$V$3:$AE$26,MATCH($A48&amp;$B48&amp;$C48,comm_cost!$AF$3:$AF$26,0),MATCH(K$2,comm_cost!$V$2:$AE$2,0))</f>
        <v>1.2455721053027466</v>
      </c>
      <c r="L48" s="66">
        <f>INDEX(comm_cost!$V$3:$AE$26,MATCH($A48&amp;$B48&amp;$C48,comm_cost!$AF$3:$AF$26,0),MATCH(L$2,comm_cost!$V$2:$AE$2,0))</f>
        <v>1.2465584081140626</v>
      </c>
      <c r="M48" s="66">
        <f>INDEX(comm_cost!$V$3:$AE$26,MATCH($A48&amp;$B48&amp;$C48,comm_cost!$AF$3:$AF$26,0),MATCH(M$2,comm_cost!$V$2:$AE$2,0))</f>
        <v>1.2474046038970621</v>
      </c>
      <c r="N48" s="66">
        <f>INDEX(comm_cost!$V$3:$AE$26,MATCH($A48&amp;$B48&amp;$C48,comm_cost!$AF$3:$AF$26,0),MATCH(N$2,comm_cost!$V$2:$AE$2,0))</f>
        <v>1.2474046038970621</v>
      </c>
    </row>
    <row r="49" spans="1:14" x14ac:dyDescent="0.2">
      <c r="A49" t="s">
        <v>53</v>
      </c>
      <c r="B49" t="s">
        <v>7</v>
      </c>
      <c r="C49" t="s">
        <v>17</v>
      </c>
      <c r="D49" s="64">
        <f t="shared" si="1"/>
        <v>2.5894683954833555</v>
      </c>
      <c r="E49" s="66">
        <f>INDEX(comm_cost!$V$3:$AE$26,MATCH($A49&amp;$B49&amp;$C49,comm_cost!$AF$3:$AF$26,0),MATCH(E$2,comm_cost!$V$2:$AE$2,0))</f>
        <v>2.5894683954833555</v>
      </c>
      <c r="F49" s="66">
        <f>INDEX(comm_cost!$V$3:$AE$26,MATCH($A49&amp;$B49&amp;$C49,comm_cost!$AF$3:$AF$26,0),MATCH(F$2,comm_cost!$V$2:$AE$2,0))</f>
        <v>2.5894683954833555</v>
      </c>
      <c r="G49" s="66">
        <f>INDEX(comm_cost!$V$3:$AE$26,MATCH($A49&amp;$B49&amp;$C49,comm_cost!$AF$3:$AF$26,0),MATCH(G$2,comm_cost!$V$2:$AE$2,0))</f>
        <v>2.5894683954833555</v>
      </c>
      <c r="H49" s="66">
        <f>INDEX(comm_cost!$V$3:$AE$26,MATCH($A49&amp;$B49&amp;$C49,comm_cost!$AF$3:$AF$26,0),MATCH(H$2,comm_cost!$V$2:$AE$2,0))</f>
        <v>2.5894683954833555</v>
      </c>
      <c r="I49" s="66">
        <f>INDEX(comm_cost!$V$3:$AE$26,MATCH($A49&amp;$B49&amp;$C49,comm_cost!$AF$3:$AF$26,0),MATCH(I$2,comm_cost!$V$2:$AE$2,0))</f>
        <v>2.5894683954833555</v>
      </c>
      <c r="J49" s="66">
        <f>INDEX(comm_cost!$V$3:$AE$26,MATCH($A49&amp;$B49&amp;$C49,comm_cost!$AF$3:$AF$26,0),MATCH(J$2,comm_cost!$V$2:$AE$2,0))</f>
        <v>2.5894683954833555</v>
      </c>
      <c r="K49" s="66">
        <f>INDEX(comm_cost!$V$3:$AE$26,MATCH($A49&amp;$B49&amp;$C49,comm_cost!$AF$3:$AF$26,0),MATCH(K$2,comm_cost!$V$2:$AE$2,0))</f>
        <v>2.5894683954833555</v>
      </c>
      <c r="L49" s="66">
        <f>INDEX(comm_cost!$V$3:$AE$26,MATCH($A49&amp;$B49&amp;$C49,comm_cost!$AF$3:$AF$26,0),MATCH(L$2,comm_cost!$V$2:$AE$2,0))</f>
        <v>2.5894683954833555</v>
      </c>
      <c r="M49" s="66">
        <f>INDEX(comm_cost!$V$3:$AE$26,MATCH($A49&amp;$B49&amp;$C49,comm_cost!$AF$3:$AF$26,0),MATCH(M$2,comm_cost!$V$2:$AE$2,0))</f>
        <v>2.5894683954833555</v>
      </c>
      <c r="N49" s="66">
        <f>INDEX(comm_cost!$V$3:$AE$26,MATCH($A49&amp;$B49&amp;$C49,comm_cost!$AF$3:$AF$26,0),MATCH(N$2,comm_cost!$V$2:$AE$2,0))</f>
        <v>2.5894683954833555</v>
      </c>
    </row>
    <row r="50" spans="1:14" x14ac:dyDescent="0.2">
      <c r="A50" t="s">
        <v>53</v>
      </c>
      <c r="B50" t="s">
        <v>7</v>
      </c>
      <c r="C50" t="s">
        <v>18</v>
      </c>
      <c r="D50" s="64">
        <f t="shared" si="1"/>
        <v>10.353614165943858</v>
      </c>
      <c r="E50" s="66">
        <f>INDEX(comm_cost!$V$3:$AE$26,MATCH($A50&amp;$B50&amp;$C50,comm_cost!$AF$3:$AF$26,0),MATCH(E$2,comm_cost!$V$2:$AE$2,0))</f>
        <v>10.353614165943858</v>
      </c>
      <c r="F50" s="66">
        <f>INDEX(comm_cost!$V$3:$AE$26,MATCH($A50&amp;$B50&amp;$C50,comm_cost!$AF$3:$AF$26,0),MATCH(F$2,comm_cost!$V$2:$AE$2,0))</f>
        <v>10.353614165943858</v>
      </c>
      <c r="G50" s="66">
        <f>INDEX(comm_cost!$V$3:$AE$26,MATCH($A50&amp;$B50&amp;$C50,comm_cost!$AF$3:$AF$26,0),MATCH(G$2,comm_cost!$V$2:$AE$2,0))</f>
        <v>10.353614165943858</v>
      </c>
      <c r="H50" s="66">
        <f>INDEX(comm_cost!$V$3:$AE$26,MATCH($A50&amp;$B50&amp;$C50,comm_cost!$AF$3:$AF$26,0),MATCH(H$2,comm_cost!$V$2:$AE$2,0))</f>
        <v>10.353614165943858</v>
      </c>
      <c r="I50" s="66">
        <f>INDEX(comm_cost!$V$3:$AE$26,MATCH($A50&amp;$B50&amp;$C50,comm_cost!$AF$3:$AF$26,0),MATCH(I$2,comm_cost!$V$2:$AE$2,0))</f>
        <v>10.353614165943858</v>
      </c>
      <c r="J50" s="66">
        <f>INDEX(comm_cost!$V$3:$AE$26,MATCH($A50&amp;$B50&amp;$C50,comm_cost!$AF$3:$AF$26,0),MATCH(J$2,comm_cost!$V$2:$AE$2,0))</f>
        <v>10.353614165943858</v>
      </c>
      <c r="K50" s="66">
        <f>INDEX(comm_cost!$V$3:$AE$26,MATCH($A50&amp;$B50&amp;$C50,comm_cost!$AF$3:$AF$26,0),MATCH(K$2,comm_cost!$V$2:$AE$2,0))</f>
        <v>10.353614165943858</v>
      </c>
      <c r="L50" s="66">
        <f>INDEX(comm_cost!$V$3:$AE$26,MATCH($A50&amp;$B50&amp;$C50,comm_cost!$AF$3:$AF$26,0),MATCH(L$2,comm_cost!$V$2:$AE$2,0))</f>
        <v>10.353614165943858</v>
      </c>
      <c r="M50" s="66">
        <f>INDEX(comm_cost!$V$3:$AE$26,MATCH($A50&amp;$B50&amp;$C50,comm_cost!$AF$3:$AF$26,0),MATCH(M$2,comm_cost!$V$2:$AE$2,0))</f>
        <v>10.353614165943858</v>
      </c>
      <c r="N50" s="66">
        <f>INDEX(comm_cost!$V$3:$AE$26,MATCH($A50&amp;$B50&amp;$C50,comm_cost!$AF$3:$AF$26,0),MATCH(N$2,comm_cost!$V$2:$AE$2,0))</f>
        <v>10.353614165943858</v>
      </c>
    </row>
    <row r="51" spans="1:14" x14ac:dyDescent="0.2">
      <c r="A51" t="s">
        <v>53</v>
      </c>
      <c r="B51" t="s">
        <v>8</v>
      </c>
      <c r="C51" t="s">
        <v>19</v>
      </c>
      <c r="D51" s="64">
        <f t="shared" si="1"/>
        <v>1.4416805868184726</v>
      </c>
      <c r="E51" s="66">
        <f>INDEX(comm_cost!$V$3:$AE$26,MATCH($A51&amp;$B51&amp;$C51,comm_cost!$AF$3:$AF$26,0),MATCH(E$2,comm_cost!$V$2:$AE$2,0))</f>
        <v>1.4416805868184726</v>
      </c>
      <c r="F51" s="66">
        <f>INDEX(comm_cost!$V$3:$AE$26,MATCH($A51&amp;$B51&amp;$C51,comm_cost!$AF$3:$AF$26,0),MATCH(F$2,comm_cost!$V$2:$AE$2,0))</f>
        <v>1.4416805868184726</v>
      </c>
      <c r="G51" s="66">
        <f>INDEX(comm_cost!$V$3:$AE$26,MATCH($A51&amp;$B51&amp;$C51,comm_cost!$AF$3:$AF$26,0),MATCH(G$2,comm_cost!$V$2:$AE$2,0))</f>
        <v>1.4416805868184726</v>
      </c>
      <c r="H51" s="66">
        <f>INDEX(comm_cost!$V$3:$AE$26,MATCH($A51&amp;$B51&amp;$C51,comm_cost!$AF$3:$AF$26,0),MATCH(H$2,comm_cost!$V$2:$AE$2,0))</f>
        <v>1.4427418257333355</v>
      </c>
      <c r="I51" s="66">
        <f>INDEX(comm_cost!$V$3:$AE$26,MATCH($A51&amp;$B51&amp;$C51,comm_cost!$AF$3:$AF$26,0),MATCH(I$2,comm_cost!$V$2:$AE$2,0))</f>
        <v>1.444260583707609</v>
      </c>
      <c r="J51" s="66">
        <f>INDEX(comm_cost!$V$3:$AE$26,MATCH($A51&amp;$B51&amp;$C51,comm_cost!$AF$3:$AF$26,0),MATCH(J$2,comm_cost!$V$2:$AE$2,0))</f>
        <v>1.4465472508171104</v>
      </c>
      <c r="K51" s="66">
        <f>INDEX(comm_cost!$V$3:$AE$26,MATCH($A51&amp;$B51&amp;$C51,comm_cost!$AF$3:$AF$26,0),MATCH(K$2,comm_cost!$V$2:$AE$2,0))</f>
        <v>1.4502064723508292</v>
      </c>
      <c r="L51" s="66">
        <f>INDEX(comm_cost!$V$3:$AE$26,MATCH($A51&amp;$B51&amp;$C51,comm_cost!$AF$3:$AF$26,0),MATCH(L$2,comm_cost!$V$2:$AE$2,0))</f>
        <v>1.4568639134233019</v>
      </c>
      <c r="M51" s="66">
        <f>INDEX(comm_cost!$V$3:$AE$26,MATCH($A51&amp;$B51&amp;$C51,comm_cost!$AF$3:$AF$26,0),MATCH(M$2,comm_cost!$V$2:$AE$2,0))</f>
        <v>1.4621092851967703</v>
      </c>
      <c r="N51" s="66">
        <f>INDEX(comm_cost!$V$3:$AE$26,MATCH($A51&amp;$B51&amp;$C51,comm_cost!$AF$3:$AF$26,0),MATCH(N$2,comm_cost!$V$2:$AE$2,0))</f>
        <v>1.4621092851967703</v>
      </c>
    </row>
    <row r="52" spans="1:14" x14ac:dyDescent="0.2">
      <c r="A52" t="s">
        <v>54</v>
      </c>
      <c r="B52" t="s">
        <v>31</v>
      </c>
      <c r="C52" t="s">
        <v>38</v>
      </c>
      <c r="D52" s="64">
        <f t="shared" si="1"/>
        <v>4.189291192528585</v>
      </c>
      <c r="E52" s="66">
        <f>INDEX(comm_cost!$V$3:$AE$26,MATCH($A52&amp;$B52&amp;$C52,comm_cost!$AF$3:$AF$26,0),MATCH(E$2,comm_cost!$V$2:$AE$2,0))</f>
        <v>4.189291192528585</v>
      </c>
      <c r="F52" s="66">
        <f>INDEX(comm_cost!$V$3:$AE$26,MATCH($A52&amp;$B52&amp;$C52,comm_cost!$AF$3:$AF$26,0),MATCH(F$2,comm_cost!$V$2:$AE$2,0))</f>
        <v>4.189291192528585</v>
      </c>
      <c r="G52" s="66">
        <f>INDEX(comm_cost!$V$3:$AE$26,MATCH($A52&amp;$B52&amp;$C52,comm_cost!$AF$3:$AF$26,0),MATCH(G$2,comm_cost!$V$2:$AE$2,0))</f>
        <v>4.189291192528585</v>
      </c>
      <c r="H52" s="66">
        <f>INDEX(comm_cost!$V$3:$AE$26,MATCH($A52&amp;$B52&amp;$C52,comm_cost!$AF$3:$AF$26,0),MATCH(H$2,comm_cost!$V$2:$AE$2,0))</f>
        <v>4.1952085114213409</v>
      </c>
      <c r="I52" s="66">
        <f>INDEX(comm_cost!$V$3:$AE$26,MATCH($A52&amp;$B52&amp;$C52,comm_cost!$AF$3:$AF$26,0),MATCH(I$2,comm_cost!$V$2:$AE$2,0))</f>
        <v>4.2030848514740207</v>
      </c>
      <c r="J52" s="66">
        <f>INDEX(comm_cost!$V$3:$AE$26,MATCH($A52&amp;$B52&amp;$C52,comm_cost!$AF$3:$AF$26,0),MATCH(J$2,comm_cost!$V$2:$AE$2,0))</f>
        <v>4.2140218224265169</v>
      </c>
      <c r="K52" s="66">
        <f>INDEX(comm_cost!$V$3:$AE$26,MATCH($A52&amp;$B52&amp;$C52,comm_cost!$AF$3:$AF$26,0),MATCH(K$2,comm_cost!$V$2:$AE$2,0))</f>
        <v>4.2274541900684932</v>
      </c>
      <c r="L52" s="66">
        <f>INDEX(comm_cost!$V$3:$AE$26,MATCH($A52&amp;$B52&amp;$C52,comm_cost!$AF$3:$AF$26,0),MATCH(L$2,comm_cost!$V$2:$AE$2,0))</f>
        <v>4.2448626593793204</v>
      </c>
      <c r="M52" s="66">
        <f>INDEX(comm_cost!$V$3:$AE$26,MATCH($A52&amp;$B52&amp;$C52,comm_cost!$AF$3:$AF$26,0),MATCH(M$2,comm_cost!$V$2:$AE$2,0))</f>
        <v>4.2701857790639943</v>
      </c>
      <c r="N52" s="66">
        <f>INDEX(comm_cost!$V$3:$AE$26,MATCH($A52&amp;$B52&amp;$C52,comm_cost!$AF$3:$AF$26,0),MATCH(N$2,comm_cost!$V$2:$AE$2,0))</f>
        <v>4.2701857790639943</v>
      </c>
    </row>
    <row r="53" spans="1:14" x14ac:dyDescent="0.2">
      <c r="A53" t="s">
        <v>54</v>
      </c>
      <c r="B53" t="s">
        <v>7</v>
      </c>
      <c r="C53" t="s">
        <v>9</v>
      </c>
      <c r="D53" s="64">
        <f t="shared" si="1"/>
        <v>4.7320992369487094</v>
      </c>
      <c r="E53" s="66">
        <f>INDEX(comm_cost!$V$3:$AE$26,MATCH($A53&amp;$B53&amp;$C53,comm_cost!$AF$3:$AF$26,0),MATCH(E$2,comm_cost!$V$2:$AE$2,0))</f>
        <v>4.7320992369487094</v>
      </c>
      <c r="F53" s="66">
        <f>INDEX(comm_cost!$V$3:$AE$26,MATCH($A53&amp;$B53&amp;$C53,comm_cost!$AF$3:$AF$26,0),MATCH(F$2,comm_cost!$V$2:$AE$2,0))</f>
        <v>4.7320992369487094</v>
      </c>
      <c r="G53" s="66">
        <f>INDEX(comm_cost!$V$3:$AE$26,MATCH($A53&amp;$B53&amp;$C53,comm_cost!$AF$3:$AF$26,0),MATCH(G$2,comm_cost!$V$2:$AE$2,0))</f>
        <v>4.7320992369487094</v>
      </c>
      <c r="H53" s="66">
        <f>INDEX(comm_cost!$V$3:$AE$26,MATCH($A53&amp;$B53&amp;$C53,comm_cost!$AF$3:$AF$26,0),MATCH(H$2,comm_cost!$V$2:$AE$2,0))</f>
        <v>4.9236896547283378</v>
      </c>
      <c r="I53" s="66">
        <f>INDEX(comm_cost!$V$3:$AE$26,MATCH($A53&amp;$B53&amp;$C53,comm_cost!$AF$3:$AF$26,0),MATCH(I$2,comm_cost!$V$2:$AE$2,0))</f>
        <v>5.0614433221356183</v>
      </c>
      <c r="J53" s="66">
        <f>INDEX(comm_cost!$V$3:$AE$26,MATCH($A53&amp;$B53&amp;$C53,comm_cost!$AF$3:$AF$26,0),MATCH(J$2,comm_cost!$V$2:$AE$2,0))</f>
        <v>5.1647070659402745</v>
      </c>
      <c r="K53" s="66">
        <f>INDEX(comm_cost!$V$3:$AE$26,MATCH($A53&amp;$B53&amp;$C53,comm_cost!$AF$3:$AF$26,0),MATCH(K$2,comm_cost!$V$2:$AE$2,0))</f>
        <v>5.2419349442787651</v>
      </c>
      <c r="L53" s="66">
        <f>INDEX(comm_cost!$V$3:$AE$26,MATCH($A53&amp;$B53&amp;$C53,comm_cost!$AF$3:$AF$26,0),MATCH(L$2,comm_cost!$V$2:$AE$2,0))</f>
        <v>5.2999374961730297</v>
      </c>
      <c r="M53" s="66">
        <f>INDEX(comm_cost!$V$3:$AE$26,MATCH($A53&amp;$B53&amp;$C53,comm_cost!$AF$3:$AF$26,0),MATCH(M$2,comm_cost!$V$2:$AE$2,0))</f>
        <v>5.3436000023769559</v>
      </c>
      <c r="N53" s="66">
        <f>INDEX(comm_cost!$V$3:$AE$26,MATCH($A53&amp;$B53&amp;$C53,comm_cost!$AF$3:$AF$26,0),MATCH(N$2,comm_cost!$V$2:$AE$2,0))</f>
        <v>5.3436000023769559</v>
      </c>
    </row>
    <row r="54" spans="1:14" x14ac:dyDescent="0.2">
      <c r="A54" t="s">
        <v>54</v>
      </c>
      <c r="B54" t="s">
        <v>7</v>
      </c>
      <c r="C54" t="s">
        <v>10</v>
      </c>
      <c r="D54" s="64">
        <f t="shared" si="1"/>
        <v>6.3802194626156741</v>
      </c>
      <c r="E54" s="66">
        <f>INDEX(comm_cost!$V$3:$AE$26,MATCH($A54&amp;$B54&amp;$C54,comm_cost!$AF$3:$AF$26,0),MATCH(E$2,comm_cost!$V$2:$AE$2,0))</f>
        <v>6.3802194626156741</v>
      </c>
      <c r="F54" s="66">
        <f>INDEX(comm_cost!$V$3:$AE$26,MATCH($A54&amp;$B54&amp;$C54,comm_cost!$AF$3:$AF$26,0),MATCH(F$2,comm_cost!$V$2:$AE$2,0))</f>
        <v>6.3802194626156741</v>
      </c>
      <c r="G54" s="66">
        <f>INDEX(comm_cost!$V$3:$AE$26,MATCH($A54&amp;$B54&amp;$C54,comm_cost!$AF$3:$AF$26,0),MATCH(G$2,comm_cost!$V$2:$AE$2,0))</f>
        <v>6.3802194626156741</v>
      </c>
      <c r="H54" s="66">
        <f>INDEX(comm_cost!$V$3:$AE$26,MATCH($A54&amp;$B54&amp;$C54,comm_cost!$AF$3:$AF$26,0),MATCH(H$2,comm_cost!$V$2:$AE$2,0))</f>
        <v>6.5718098803953025</v>
      </c>
      <c r="I54" s="66">
        <f>INDEX(comm_cost!$V$3:$AE$26,MATCH($A54&amp;$B54&amp;$C54,comm_cost!$AF$3:$AF$26,0),MATCH(I$2,comm_cost!$V$2:$AE$2,0))</f>
        <v>6.7095635478026256</v>
      </c>
      <c r="J54" s="66">
        <f>INDEX(comm_cost!$V$3:$AE$26,MATCH($A54&amp;$B54&amp;$C54,comm_cost!$AF$3:$AF$26,0),MATCH(J$2,comm_cost!$V$2:$AE$2,0))</f>
        <v>6.8128272916072818</v>
      </c>
      <c r="K54" s="66">
        <f>INDEX(comm_cost!$V$3:$AE$26,MATCH($A54&amp;$B54&amp;$C54,comm_cost!$AF$3:$AF$26,0),MATCH(K$2,comm_cost!$V$2:$AE$2,0))</f>
        <v>6.8900551699457724</v>
      </c>
      <c r="L54" s="66">
        <f>INDEX(comm_cost!$V$3:$AE$26,MATCH($A54&amp;$B54&amp;$C54,comm_cost!$AF$3:$AF$26,0),MATCH(L$2,comm_cost!$V$2:$AE$2,0))</f>
        <v>6.948057721840037</v>
      </c>
      <c r="M54" s="66">
        <f>INDEX(comm_cost!$V$3:$AE$26,MATCH($A54&amp;$B54&amp;$C54,comm_cost!$AF$3:$AF$26,0),MATCH(M$2,comm_cost!$V$2:$AE$2,0))</f>
        <v>6.9917202280439623</v>
      </c>
      <c r="N54" s="66">
        <f>INDEX(comm_cost!$V$3:$AE$26,MATCH($A54&amp;$B54&amp;$C54,comm_cost!$AF$3:$AF$26,0),MATCH(N$2,comm_cost!$V$2:$AE$2,0))</f>
        <v>6.9917202280439623</v>
      </c>
    </row>
    <row r="55" spans="1:14" x14ac:dyDescent="0.2">
      <c r="A55" t="s">
        <v>55</v>
      </c>
      <c r="B55" t="s">
        <v>31</v>
      </c>
      <c r="C55" t="s">
        <v>21</v>
      </c>
      <c r="D55" s="64">
        <f t="shared" si="1"/>
        <v>1.1807612851695077</v>
      </c>
      <c r="E55" s="66">
        <f>INDEX(comm_cost!$V$3:$AE$26,MATCH($A55&amp;$B55&amp;$C55,comm_cost!$AF$3:$AF$26,0),MATCH(E$2,comm_cost!$V$2:$AE$2,0))</f>
        <v>1.1807612851695077</v>
      </c>
      <c r="F55" s="66">
        <f>INDEX(comm_cost!$V$3:$AE$26,MATCH($A55&amp;$B55&amp;$C55,comm_cost!$AF$3:$AF$26,0),MATCH(F$2,comm_cost!$V$2:$AE$2,0))</f>
        <v>1.1807612851695077</v>
      </c>
      <c r="G55" s="66">
        <f>INDEX(comm_cost!$V$3:$AE$26,MATCH($A55&amp;$B55&amp;$C55,comm_cost!$AF$3:$AF$26,0),MATCH(G$2,comm_cost!$V$2:$AE$2,0))</f>
        <v>1.1807612851695077</v>
      </c>
      <c r="H55" s="66">
        <f>INDEX(comm_cost!$V$3:$AE$26,MATCH($A55&amp;$B55&amp;$C55,comm_cost!$AF$3:$AF$26,0),MATCH(H$2,comm_cost!$V$2:$AE$2,0))</f>
        <v>1.1930728716357286</v>
      </c>
      <c r="I55" s="66">
        <f>INDEX(comm_cost!$V$3:$AE$26,MATCH($A55&amp;$B55&amp;$C55,comm_cost!$AF$3:$AF$26,0),MATCH(I$2,comm_cost!$V$2:$AE$2,0))</f>
        <v>1.2005266078898862</v>
      </c>
      <c r="J55" s="66">
        <f>INDEX(comm_cost!$V$3:$AE$26,MATCH($A55&amp;$B55&amp;$C55,comm_cost!$AF$3:$AF$26,0),MATCH(J$2,comm_cost!$V$2:$AE$2,0))</f>
        <v>1.2049342395493179</v>
      </c>
      <c r="K55" s="66">
        <f>INDEX(comm_cost!$V$3:$AE$26,MATCH($A55&amp;$B55&amp;$C55,comm_cost!$AF$3:$AF$26,0),MATCH(K$2,comm_cost!$V$2:$AE$2,0))</f>
        <v>1.2075045271584948</v>
      </c>
      <c r="L55" s="66">
        <f>INDEX(comm_cost!$V$3:$AE$26,MATCH($A55&amp;$B55&amp;$C55,comm_cost!$AF$3:$AF$26,0),MATCH(L$2,comm_cost!$V$2:$AE$2,0))</f>
        <v>1.2090242760982592</v>
      </c>
      <c r="M55" s="66">
        <f>INDEX(comm_cost!$V$3:$AE$26,MATCH($A55&amp;$B55&amp;$C55,comm_cost!$AF$3:$AF$26,0),MATCH(M$2,comm_cost!$V$2:$AE$2,0))</f>
        <v>1.2099236363653385</v>
      </c>
      <c r="N55" s="66">
        <f>INDEX(comm_cost!$V$3:$AE$26,MATCH($A55&amp;$B55&amp;$C55,comm_cost!$AF$3:$AF$26,0),MATCH(N$2,comm_cost!$V$2:$AE$2,0))</f>
        <v>1.2099236363653385</v>
      </c>
    </row>
    <row r="56" spans="1:14" x14ac:dyDescent="0.2">
      <c r="A56" t="s">
        <v>55</v>
      </c>
      <c r="B56" t="s">
        <v>31</v>
      </c>
      <c r="C56" t="s">
        <v>22</v>
      </c>
      <c r="D56" s="64">
        <f t="shared" si="1"/>
        <v>1.2717441759076173</v>
      </c>
      <c r="E56" s="66">
        <f>INDEX(comm_cost!$V$3:$AE$26,MATCH($A56&amp;$B56&amp;$C56,comm_cost!$AF$3:$AF$26,0),MATCH(E$2,comm_cost!$V$2:$AE$2,0))</f>
        <v>1.2717441759076173</v>
      </c>
      <c r="F56" s="66">
        <f>INDEX(comm_cost!$V$3:$AE$26,MATCH($A56&amp;$B56&amp;$C56,comm_cost!$AF$3:$AF$26,0),MATCH(F$2,comm_cost!$V$2:$AE$2,0))</f>
        <v>1.2717441759076173</v>
      </c>
      <c r="G56" s="66">
        <f>INDEX(comm_cost!$V$3:$AE$26,MATCH($A56&amp;$B56&amp;$C56,comm_cost!$AF$3:$AF$26,0),MATCH(G$2,comm_cost!$V$2:$AE$2,0))</f>
        <v>1.2717441759076173</v>
      </c>
      <c r="H56" s="66">
        <f>INDEX(comm_cost!$V$3:$AE$26,MATCH($A56&amp;$B56&amp;$C56,comm_cost!$AF$3:$AF$26,0),MATCH(H$2,comm_cost!$V$2:$AE$2,0))</f>
        <v>1.2840557623738387</v>
      </c>
      <c r="I56" s="66">
        <f>INDEX(comm_cost!$V$3:$AE$26,MATCH($A56&amp;$B56&amp;$C56,comm_cost!$AF$3:$AF$26,0),MATCH(I$2,comm_cost!$V$2:$AE$2,0))</f>
        <v>1.2915094986279958</v>
      </c>
      <c r="J56" s="66">
        <f>INDEX(comm_cost!$V$3:$AE$26,MATCH($A56&amp;$B56&amp;$C56,comm_cost!$AF$3:$AF$26,0),MATCH(J$2,comm_cost!$V$2:$AE$2,0))</f>
        <v>1.2959171302874275</v>
      </c>
      <c r="K56" s="66">
        <f>INDEX(comm_cost!$V$3:$AE$26,MATCH($A56&amp;$B56&amp;$C56,comm_cost!$AF$3:$AF$26,0),MATCH(K$2,comm_cost!$V$2:$AE$2,0))</f>
        <v>1.2984874178966046</v>
      </c>
      <c r="L56" s="66">
        <f>INDEX(comm_cost!$V$3:$AE$26,MATCH($A56&amp;$B56&amp;$C56,comm_cost!$AF$3:$AF$26,0),MATCH(L$2,comm_cost!$V$2:$AE$2,0))</f>
        <v>1.3000071668363691</v>
      </c>
      <c r="M56" s="66">
        <f>INDEX(comm_cost!$V$3:$AE$26,MATCH($A56&amp;$B56&amp;$C56,comm_cost!$AF$3:$AF$26,0),MATCH(M$2,comm_cost!$V$2:$AE$2,0))</f>
        <v>1.3009065271034479</v>
      </c>
      <c r="N56" s="66">
        <f>INDEX(comm_cost!$V$3:$AE$26,MATCH($A56&amp;$B56&amp;$C56,comm_cost!$AF$3:$AF$26,0),MATCH(N$2,comm_cost!$V$2:$AE$2,0))</f>
        <v>1.3009065271034479</v>
      </c>
    </row>
    <row r="57" spans="1:14" x14ac:dyDescent="0.2">
      <c r="A57" t="s">
        <v>55</v>
      </c>
      <c r="B57" t="s">
        <v>7</v>
      </c>
      <c r="C57" t="s">
        <v>24</v>
      </c>
      <c r="D57" s="64">
        <f t="shared" si="1"/>
        <v>2.6946685444063849</v>
      </c>
      <c r="E57" s="66">
        <f>INDEX(comm_cost!$V$3:$AE$26,MATCH($A57&amp;$B57&amp;$C57,comm_cost!$AF$3:$AF$26,0),MATCH(E$2,comm_cost!$V$2:$AE$2,0))</f>
        <v>2.6946685444063849</v>
      </c>
      <c r="F57" s="66">
        <f>INDEX(comm_cost!$V$3:$AE$26,MATCH($A57&amp;$B57&amp;$C57,comm_cost!$AF$3:$AF$26,0),MATCH(F$2,comm_cost!$V$2:$AE$2,0))</f>
        <v>2.6946685444063849</v>
      </c>
      <c r="G57" s="66">
        <f>INDEX(comm_cost!$V$3:$AE$26,MATCH($A57&amp;$B57&amp;$C57,comm_cost!$AF$3:$AF$26,0),MATCH(G$2,comm_cost!$V$2:$AE$2,0))</f>
        <v>2.6946685444063849</v>
      </c>
      <c r="H57" s="66">
        <f>INDEX(comm_cost!$V$3:$AE$26,MATCH($A57&amp;$B57&amp;$C57,comm_cost!$AF$3:$AF$26,0),MATCH(H$2,comm_cost!$V$2:$AE$2,0))</f>
        <v>2.6946685444063849</v>
      </c>
      <c r="I57" s="66">
        <f>INDEX(comm_cost!$V$3:$AE$26,MATCH($A57&amp;$B57&amp;$C57,comm_cost!$AF$3:$AF$26,0),MATCH(I$2,comm_cost!$V$2:$AE$2,0))</f>
        <v>2.6946685444063849</v>
      </c>
      <c r="J57" s="66">
        <f>INDEX(comm_cost!$V$3:$AE$26,MATCH($A57&amp;$B57&amp;$C57,comm_cost!$AF$3:$AF$26,0),MATCH(J$2,comm_cost!$V$2:$AE$2,0))</f>
        <v>2.6946685444063849</v>
      </c>
      <c r="K57" s="66">
        <f>INDEX(comm_cost!$V$3:$AE$26,MATCH($A57&amp;$B57&amp;$C57,comm_cost!$AF$3:$AF$26,0),MATCH(K$2,comm_cost!$V$2:$AE$2,0))</f>
        <v>2.6946685444063849</v>
      </c>
      <c r="L57" s="66">
        <f>INDEX(comm_cost!$V$3:$AE$26,MATCH($A57&amp;$B57&amp;$C57,comm_cost!$AF$3:$AF$26,0),MATCH(L$2,comm_cost!$V$2:$AE$2,0))</f>
        <v>2.6946685444063849</v>
      </c>
      <c r="M57" s="66">
        <f>INDEX(comm_cost!$V$3:$AE$26,MATCH($A57&amp;$B57&amp;$C57,comm_cost!$AF$3:$AF$26,0),MATCH(M$2,comm_cost!$V$2:$AE$2,0))</f>
        <v>2.6946685444063849</v>
      </c>
      <c r="N57" s="66">
        <f>INDEX(comm_cost!$V$3:$AE$26,MATCH($A57&amp;$B57&amp;$C57,comm_cost!$AF$3:$AF$26,0),MATCH(N$2,comm_cost!$V$2:$AE$2,0))</f>
        <v>2.6946685444063849</v>
      </c>
    </row>
    <row r="58" spans="1:14" x14ac:dyDescent="0.2">
      <c r="A58" t="s">
        <v>55</v>
      </c>
      <c r="B58" t="s">
        <v>7</v>
      </c>
      <c r="C58" t="s">
        <v>23</v>
      </c>
      <c r="D58" s="64">
        <f t="shared" si="1"/>
        <v>12.162897346300976</v>
      </c>
      <c r="E58" s="66">
        <f>INDEX(comm_cost!$V$3:$AE$26,MATCH($A58&amp;$B58&amp;$C58,comm_cost!$AF$3:$AF$26,0),MATCH(E$2,comm_cost!$V$2:$AE$2,0))</f>
        <v>12.162897346300976</v>
      </c>
      <c r="F58" s="66">
        <f>INDEX(comm_cost!$V$3:$AE$26,MATCH($A58&amp;$B58&amp;$C58,comm_cost!$AF$3:$AF$26,0),MATCH(F$2,comm_cost!$V$2:$AE$2,0))</f>
        <v>12.162897346300976</v>
      </c>
      <c r="G58" s="66">
        <f>INDEX(comm_cost!$V$3:$AE$26,MATCH($A58&amp;$B58&amp;$C58,comm_cost!$AF$3:$AF$26,0),MATCH(G$2,comm_cost!$V$2:$AE$2,0))</f>
        <v>12.162897346300976</v>
      </c>
      <c r="H58" s="66">
        <f>INDEX(comm_cost!$V$3:$AE$26,MATCH($A58&amp;$B58&amp;$C58,comm_cost!$AF$3:$AF$26,0),MATCH(H$2,comm_cost!$V$2:$AE$2,0))</f>
        <v>12.162897346300976</v>
      </c>
      <c r="I58" s="66">
        <f>INDEX(comm_cost!$V$3:$AE$26,MATCH($A58&amp;$B58&amp;$C58,comm_cost!$AF$3:$AF$26,0),MATCH(I$2,comm_cost!$V$2:$AE$2,0))</f>
        <v>12.162897346300976</v>
      </c>
      <c r="J58" s="66">
        <f>INDEX(comm_cost!$V$3:$AE$26,MATCH($A58&amp;$B58&amp;$C58,comm_cost!$AF$3:$AF$26,0),MATCH(J$2,comm_cost!$V$2:$AE$2,0))</f>
        <v>12.162897346300976</v>
      </c>
      <c r="K58" s="66">
        <f>INDEX(comm_cost!$V$3:$AE$26,MATCH($A58&amp;$B58&amp;$C58,comm_cost!$AF$3:$AF$26,0),MATCH(K$2,comm_cost!$V$2:$AE$2,0))</f>
        <v>12.162897346300976</v>
      </c>
      <c r="L58" s="66">
        <f>INDEX(comm_cost!$V$3:$AE$26,MATCH($A58&amp;$B58&amp;$C58,comm_cost!$AF$3:$AF$26,0),MATCH(L$2,comm_cost!$V$2:$AE$2,0))</f>
        <v>12.162897346300976</v>
      </c>
      <c r="M58" s="66">
        <f>INDEX(comm_cost!$V$3:$AE$26,MATCH($A58&amp;$B58&amp;$C58,comm_cost!$AF$3:$AF$26,0),MATCH(M$2,comm_cost!$V$2:$AE$2,0))</f>
        <v>12.162897346300976</v>
      </c>
      <c r="N58" s="66">
        <f>INDEX(comm_cost!$V$3:$AE$26,MATCH($A58&amp;$B58&amp;$C58,comm_cost!$AF$3:$AF$26,0),MATCH(N$2,comm_cost!$V$2:$AE$2,0))</f>
        <v>12.162897346300976</v>
      </c>
    </row>
    <row r="59" spans="1:14" x14ac:dyDescent="0.2">
      <c r="A59" t="s">
        <v>55</v>
      </c>
      <c r="B59" t="s">
        <v>8</v>
      </c>
      <c r="C59" t="s">
        <v>26</v>
      </c>
      <c r="D59" s="64">
        <f t="shared" si="1"/>
        <v>2.0125757884506892</v>
      </c>
      <c r="E59" s="66">
        <f>INDEX(comm_cost!$V$3:$AE$26,MATCH($A59&amp;$B59&amp;$C59,comm_cost!$AF$3:$AF$26,0),MATCH(E$2,comm_cost!$V$2:$AE$2,0))</f>
        <v>2.0125757884506892</v>
      </c>
      <c r="F59" s="66">
        <f>INDEX(comm_cost!$V$3:$AE$26,MATCH($A59&amp;$B59&amp;$C59,comm_cost!$AF$3:$AF$26,0),MATCH(F$2,comm_cost!$V$2:$AE$2,0))</f>
        <v>2.0125757884506892</v>
      </c>
      <c r="G59" s="66">
        <f>INDEX(comm_cost!$V$3:$AE$26,MATCH($A59&amp;$B59&amp;$C59,comm_cost!$AF$3:$AF$26,0),MATCH(G$2,comm_cost!$V$2:$AE$2,0))</f>
        <v>2.0125757884506892</v>
      </c>
      <c r="H59" s="66">
        <f>INDEX(comm_cost!$V$3:$AE$26,MATCH($A59&amp;$B59&amp;$C59,comm_cost!$AF$3:$AF$26,0),MATCH(H$2,comm_cost!$V$2:$AE$2,0))</f>
        <v>2.0142880313835634</v>
      </c>
      <c r="I59" s="66">
        <f>INDEX(comm_cost!$V$3:$AE$26,MATCH($A59&amp;$B59&amp;$C59,comm_cost!$AF$3:$AF$26,0),MATCH(I$2,comm_cost!$V$2:$AE$2,0))</f>
        <v>2.0170739619427724</v>
      </c>
      <c r="J59" s="66">
        <f>INDEX(comm_cost!$V$3:$AE$26,MATCH($A59&amp;$B59&amp;$C59,comm_cost!$AF$3:$AF$26,0),MATCH(J$2,comm_cost!$V$2:$AE$2,0))</f>
        <v>2.0214119910188035</v>
      </c>
      <c r="K59" s="66">
        <f>INDEX(comm_cost!$V$3:$AE$26,MATCH($A59&amp;$B59&amp;$C59,comm_cost!$AF$3:$AF$26,0),MATCH(K$2,comm_cost!$V$2:$AE$2,0))</f>
        <v>2.0282525587850895</v>
      </c>
      <c r="L59" s="66">
        <f>INDEX(comm_cost!$V$3:$AE$26,MATCH($A59&amp;$B59&amp;$C59,comm_cost!$AF$3:$AF$26,0),MATCH(L$2,comm_cost!$V$2:$AE$2,0))</f>
        <v>2.0392314435915937</v>
      </c>
      <c r="M59" s="66">
        <f>INDEX(comm_cost!$V$3:$AE$26,MATCH($A59&amp;$B59&amp;$C59,comm_cost!$AF$3:$AF$26,0),MATCH(M$2,comm_cost!$V$2:$AE$2,0))</f>
        <v>2.0563810336134525</v>
      </c>
      <c r="N59" s="66">
        <f>INDEX(comm_cost!$V$3:$AE$26,MATCH($A59&amp;$B59&amp;$C59,comm_cost!$AF$3:$AF$26,0),MATCH(N$2,comm_cost!$V$2:$AE$2,0))</f>
        <v>2.0563810336134525</v>
      </c>
    </row>
    <row r="60" spans="1:14" x14ac:dyDescent="0.2">
      <c r="A60" t="s">
        <v>56</v>
      </c>
      <c r="B60" t="s">
        <v>7</v>
      </c>
      <c r="C60" t="s">
        <v>39</v>
      </c>
      <c r="D60" s="64">
        <f t="shared" si="1"/>
        <v>45.951207575139215</v>
      </c>
      <c r="E60" s="66">
        <f>INDEX(comm_cost!$V$3:$AE$26,MATCH($A60&amp;$B60&amp;$C60,comm_cost!$AF$3:$AF$26,0),MATCH(E$2,comm_cost!$V$2:$AE$2,0))</f>
        <v>45.951207575139215</v>
      </c>
      <c r="F60" s="66">
        <f>INDEX(comm_cost!$V$3:$AE$26,MATCH($A60&amp;$B60&amp;$C60,comm_cost!$AF$3:$AF$26,0),MATCH(F$2,comm_cost!$V$2:$AE$2,0))</f>
        <v>45.951207575139215</v>
      </c>
      <c r="G60" s="66">
        <f>INDEX(comm_cost!$V$3:$AE$26,MATCH($A60&amp;$B60&amp;$C60,comm_cost!$AF$3:$AF$26,0),MATCH(G$2,comm_cost!$V$2:$AE$2,0))</f>
        <v>45.951207575139215</v>
      </c>
      <c r="H60" s="66">
        <f>INDEX(comm_cost!$V$3:$AE$26,MATCH($A60&amp;$B60&amp;$C60,comm_cost!$AF$3:$AF$26,0),MATCH(H$2,comm_cost!$V$2:$AE$2,0))</f>
        <v>46.279936469008405</v>
      </c>
      <c r="I60" s="66">
        <f>INDEX(comm_cost!$V$3:$AE$26,MATCH($A60&amp;$B60&amp;$C60,comm_cost!$AF$3:$AF$26,0),MATCH(I$2,comm_cost!$V$2:$AE$2,0))</f>
        <v>47.286789634467851</v>
      </c>
      <c r="J60" s="66">
        <f>INDEX(comm_cost!$V$3:$AE$26,MATCH($A60&amp;$B60&amp;$C60,comm_cost!$AF$3:$AF$26,0),MATCH(J$2,comm_cost!$V$2:$AE$2,0))</f>
        <v>47.946451075653293</v>
      </c>
      <c r="K60" s="66">
        <f>INDEX(comm_cost!$V$3:$AE$26,MATCH($A60&amp;$B60&amp;$C60,comm_cost!$AF$3:$AF$26,0),MATCH(K$2,comm_cost!$V$2:$AE$2,0))</f>
        <v>48.384487893805733</v>
      </c>
      <c r="L60" s="66">
        <f>INDEX(comm_cost!$V$3:$AE$26,MATCH($A60&amp;$B60&amp;$C60,comm_cost!$AF$3:$AF$26,0),MATCH(L$2,comm_cost!$V$2:$AE$2,0))</f>
        <v>48.685931397364186</v>
      </c>
      <c r="M60" s="66">
        <f>INDEX(comm_cost!$V$3:$AE$26,MATCH($A60&amp;$B60&amp;$C60,comm_cost!$AF$3:$AF$26,0),MATCH(M$2,comm_cost!$V$2:$AE$2,0))</f>
        <v>48.894442842963052</v>
      </c>
      <c r="N60" s="66">
        <f>INDEX(comm_cost!$V$3:$AE$26,MATCH($A60&amp;$B60&amp;$C60,comm_cost!$AF$3:$AF$26,0),MATCH(N$2,comm_cost!$V$2:$AE$2,0))</f>
        <v>48.894442842963052</v>
      </c>
    </row>
    <row r="61" spans="1:14" x14ac:dyDescent="0.2">
      <c r="A61" t="s">
        <v>56</v>
      </c>
      <c r="B61" t="s">
        <v>7</v>
      </c>
      <c r="C61" t="s">
        <v>40</v>
      </c>
      <c r="D61" s="64">
        <f t="shared" si="1"/>
        <v>57.961704157812491</v>
      </c>
      <c r="E61" s="66">
        <f>INDEX(comm_cost!$V$3:$AE$26,MATCH($A61&amp;$B61&amp;$C61,comm_cost!$AF$3:$AF$26,0),MATCH(E$2,comm_cost!$V$2:$AE$2,0))</f>
        <v>57.961704157812491</v>
      </c>
      <c r="F61" s="66">
        <f>INDEX(comm_cost!$V$3:$AE$26,MATCH($A61&amp;$B61&amp;$C61,comm_cost!$AF$3:$AF$26,0),MATCH(F$2,comm_cost!$V$2:$AE$2,0))</f>
        <v>57.961704157812491</v>
      </c>
      <c r="G61" s="66">
        <f>INDEX(comm_cost!$V$3:$AE$26,MATCH($A61&amp;$B61&amp;$C61,comm_cost!$AF$3:$AF$26,0),MATCH(G$2,comm_cost!$V$2:$AE$2,0))</f>
        <v>57.961704157812491</v>
      </c>
      <c r="H61" s="66">
        <f>INDEX(comm_cost!$V$3:$AE$26,MATCH($A61&amp;$B61&amp;$C61,comm_cost!$AF$3:$AF$26,0),MATCH(H$2,comm_cost!$V$2:$AE$2,0))</f>
        <v>58.290433051681589</v>
      </c>
      <c r="I61" s="66">
        <f>INDEX(comm_cost!$V$3:$AE$26,MATCH($A61&amp;$B61&amp;$C61,comm_cost!$AF$3:$AF$26,0),MATCH(I$2,comm_cost!$V$2:$AE$2,0))</f>
        <v>59.297286217141036</v>
      </c>
      <c r="J61" s="66">
        <f>INDEX(comm_cost!$V$3:$AE$26,MATCH($A61&amp;$B61&amp;$C61,comm_cost!$AF$3:$AF$26,0),MATCH(J$2,comm_cost!$V$2:$AE$2,0))</f>
        <v>59.956947658326577</v>
      </c>
      <c r="K61" s="66">
        <f>INDEX(comm_cost!$V$3:$AE$26,MATCH($A61&amp;$B61&amp;$C61,comm_cost!$AF$3:$AF$26,0),MATCH(K$2,comm_cost!$V$2:$AE$2,0))</f>
        <v>60.39498447647901</v>
      </c>
      <c r="L61" s="66">
        <f>INDEX(comm_cost!$V$3:$AE$26,MATCH($A61&amp;$B61&amp;$C61,comm_cost!$AF$3:$AF$26,0),MATCH(L$2,comm_cost!$V$2:$AE$2,0))</f>
        <v>60.696427980037463</v>
      </c>
      <c r="M61" s="66">
        <f>INDEX(comm_cost!$V$3:$AE$26,MATCH($A61&amp;$B61&amp;$C61,comm_cost!$AF$3:$AF$26,0),MATCH(M$2,comm_cost!$V$2:$AE$2,0))</f>
        <v>60.904939425636329</v>
      </c>
      <c r="N61" s="66">
        <f>INDEX(comm_cost!$V$3:$AE$26,MATCH($A61&amp;$B61&amp;$C61,comm_cost!$AF$3:$AF$26,0),MATCH(N$2,comm_cost!$V$2:$AE$2,0))</f>
        <v>60.904939425636329</v>
      </c>
    </row>
    <row r="62" spans="1:14" x14ac:dyDescent="0.2">
      <c r="A62" t="s">
        <v>57</v>
      </c>
      <c r="B62" t="s">
        <v>31</v>
      </c>
      <c r="C62" t="s">
        <v>44</v>
      </c>
      <c r="D62" s="64">
        <f t="shared" si="1"/>
        <v>4.9613463650998524</v>
      </c>
      <c r="E62" s="66">
        <f>INDEX(comm_cost!$V$3:$AE$26,MATCH($A62&amp;$B62&amp;$C62,comm_cost!$AF$3:$AF$26,0),MATCH(E$2,comm_cost!$V$2:$AE$2,0))</f>
        <v>4.9613463650998524</v>
      </c>
      <c r="F62" s="66">
        <f>INDEX(comm_cost!$V$3:$AE$26,MATCH($A62&amp;$B62&amp;$C62,comm_cost!$AF$3:$AF$26,0),MATCH(F$2,comm_cost!$V$2:$AE$2,0))</f>
        <v>4.9613463650998524</v>
      </c>
      <c r="G62" s="66">
        <f>INDEX(comm_cost!$V$3:$AE$26,MATCH($A62&amp;$B62&amp;$C62,comm_cost!$AF$3:$AF$26,0),MATCH(G$2,comm_cost!$V$2:$AE$2,0))</f>
        <v>4.9613463650998524</v>
      </c>
      <c r="H62" s="66">
        <f>INDEX(comm_cost!$V$3:$AE$26,MATCH($A62&amp;$B62&amp;$C62,comm_cost!$AF$3:$AF$26,0),MATCH(H$2,comm_cost!$V$2:$AE$2,0))</f>
        <v>4.9613463650998524</v>
      </c>
      <c r="I62" s="66">
        <f>INDEX(comm_cost!$V$3:$AE$26,MATCH($A62&amp;$B62&amp;$C62,comm_cost!$AF$3:$AF$26,0),MATCH(I$2,comm_cost!$V$2:$AE$2,0))</f>
        <v>4.9613463650998524</v>
      </c>
      <c r="J62" s="66">
        <f>INDEX(comm_cost!$V$3:$AE$26,MATCH($A62&amp;$B62&amp;$C62,comm_cost!$AF$3:$AF$26,0),MATCH(J$2,comm_cost!$V$2:$AE$2,0))</f>
        <v>4.9613463650998524</v>
      </c>
      <c r="K62" s="66">
        <f>INDEX(comm_cost!$V$3:$AE$26,MATCH($A62&amp;$B62&amp;$C62,comm_cost!$AF$3:$AF$26,0),MATCH(K$2,comm_cost!$V$2:$AE$2,0))</f>
        <v>4.9613463650998524</v>
      </c>
      <c r="L62" s="66">
        <f>INDEX(comm_cost!$V$3:$AE$26,MATCH($A62&amp;$B62&amp;$C62,comm_cost!$AF$3:$AF$26,0),MATCH(L$2,comm_cost!$V$2:$AE$2,0))</f>
        <v>4.9613463650998524</v>
      </c>
      <c r="M62" s="66">
        <f>INDEX(comm_cost!$V$3:$AE$26,MATCH($A62&amp;$B62&amp;$C62,comm_cost!$AF$3:$AF$26,0),MATCH(M$2,comm_cost!$V$2:$AE$2,0))</f>
        <v>4.9613463650998524</v>
      </c>
      <c r="N62" s="66">
        <f>INDEX(comm_cost!$V$3:$AE$26,MATCH($A62&amp;$B62&amp;$C62,comm_cost!$AF$3:$AF$26,0),MATCH(N$2,comm_cost!$V$2:$AE$2,0))</f>
        <v>4.9613463650998524</v>
      </c>
    </row>
    <row r="63" spans="1:14" x14ac:dyDescent="0.2">
      <c r="A63" t="s">
        <v>57</v>
      </c>
      <c r="B63" t="s">
        <v>31</v>
      </c>
      <c r="C63" t="s">
        <v>45</v>
      </c>
      <c r="D63" s="64">
        <f t="shared" si="1"/>
        <v>4.9613463650998524</v>
      </c>
      <c r="E63" s="66">
        <f>INDEX(comm_cost!$V$3:$AE$26,MATCH($A63&amp;$B63&amp;$C63,comm_cost!$AF$3:$AF$26,0),MATCH(E$2,comm_cost!$V$2:$AE$2,0))</f>
        <v>4.9613463650998524</v>
      </c>
      <c r="F63" s="66">
        <f>INDEX(comm_cost!$V$3:$AE$26,MATCH($A63&amp;$B63&amp;$C63,comm_cost!$AF$3:$AF$26,0),MATCH(F$2,comm_cost!$V$2:$AE$2,0))</f>
        <v>4.9613463650998524</v>
      </c>
      <c r="G63" s="66">
        <f>INDEX(comm_cost!$V$3:$AE$26,MATCH($A63&amp;$B63&amp;$C63,comm_cost!$AF$3:$AF$26,0),MATCH(G$2,comm_cost!$V$2:$AE$2,0))</f>
        <v>4.9613463650998524</v>
      </c>
      <c r="H63" s="66">
        <f>INDEX(comm_cost!$V$3:$AE$26,MATCH($A63&amp;$B63&amp;$C63,comm_cost!$AF$3:$AF$26,0),MATCH(H$2,comm_cost!$V$2:$AE$2,0))</f>
        <v>4.9613463650998524</v>
      </c>
      <c r="I63" s="66">
        <f>INDEX(comm_cost!$V$3:$AE$26,MATCH($A63&amp;$B63&amp;$C63,comm_cost!$AF$3:$AF$26,0),MATCH(I$2,comm_cost!$V$2:$AE$2,0))</f>
        <v>4.9613463650998524</v>
      </c>
      <c r="J63" s="66">
        <f>INDEX(comm_cost!$V$3:$AE$26,MATCH($A63&amp;$B63&amp;$C63,comm_cost!$AF$3:$AF$26,0),MATCH(J$2,comm_cost!$V$2:$AE$2,0))</f>
        <v>4.9613463650998524</v>
      </c>
      <c r="K63" s="66">
        <f>INDEX(comm_cost!$V$3:$AE$26,MATCH($A63&amp;$B63&amp;$C63,comm_cost!$AF$3:$AF$26,0),MATCH(K$2,comm_cost!$V$2:$AE$2,0))</f>
        <v>4.9613463650998524</v>
      </c>
      <c r="L63" s="66">
        <f>INDEX(comm_cost!$V$3:$AE$26,MATCH($A63&amp;$B63&amp;$C63,comm_cost!$AF$3:$AF$26,0),MATCH(L$2,comm_cost!$V$2:$AE$2,0))</f>
        <v>4.9613463650998524</v>
      </c>
      <c r="M63" s="66">
        <f>INDEX(comm_cost!$V$3:$AE$26,MATCH($A63&amp;$B63&amp;$C63,comm_cost!$AF$3:$AF$26,0),MATCH(M$2,comm_cost!$V$2:$AE$2,0))</f>
        <v>4.9613463650998524</v>
      </c>
      <c r="N63" s="66">
        <f>INDEX(comm_cost!$V$3:$AE$26,MATCH($A63&amp;$B63&amp;$C63,comm_cost!$AF$3:$AF$26,0),MATCH(N$2,comm_cost!$V$2:$AE$2,0))</f>
        <v>4.9613463650998524</v>
      </c>
    </row>
    <row r="64" spans="1:14" x14ac:dyDescent="0.2">
      <c r="A64" t="s">
        <v>57</v>
      </c>
      <c r="B64" t="s">
        <v>7</v>
      </c>
      <c r="C64" t="s">
        <v>46</v>
      </c>
      <c r="D64" s="64">
        <f t="shared" si="1"/>
        <v>11.441010052517086</v>
      </c>
      <c r="E64" s="66">
        <f>INDEX(comm_cost!$V$3:$AE$26,MATCH($A64&amp;$B64&amp;$C64,comm_cost!$AF$3:$AF$26,0),MATCH(E$2,comm_cost!$V$2:$AE$2,0))</f>
        <v>11.441010052517086</v>
      </c>
      <c r="F64" s="66">
        <f>INDEX(comm_cost!$V$3:$AE$26,MATCH($A64&amp;$B64&amp;$C64,comm_cost!$AF$3:$AF$26,0),MATCH(F$2,comm_cost!$V$2:$AE$2,0))</f>
        <v>11.441010052517086</v>
      </c>
      <c r="G64" s="66">
        <f>INDEX(comm_cost!$V$3:$AE$26,MATCH($A64&amp;$B64&amp;$C64,comm_cost!$AF$3:$AF$26,0),MATCH(G$2,comm_cost!$V$2:$AE$2,0))</f>
        <v>11.441010052517086</v>
      </c>
      <c r="H64" s="66">
        <f>INDEX(comm_cost!$V$3:$AE$26,MATCH($A64&amp;$B64&amp;$C64,comm_cost!$AF$3:$AF$26,0),MATCH(H$2,comm_cost!$V$2:$AE$2,0))</f>
        <v>11.447370783089223</v>
      </c>
      <c r="I64" s="66">
        <f>INDEX(comm_cost!$V$3:$AE$26,MATCH($A64&amp;$B64&amp;$C64,comm_cost!$AF$3:$AF$26,0),MATCH(I$2,comm_cost!$V$2:$AE$2,0))</f>
        <v>11.45763297092277</v>
      </c>
      <c r="J64" s="66">
        <f>INDEX(comm_cost!$V$3:$AE$26,MATCH($A64&amp;$B64&amp;$C64,comm_cost!$AF$3:$AF$26,0),MATCH(J$2,comm_cost!$V$2:$AE$2,0))</f>
        <v>11.474508587881049</v>
      </c>
      <c r="K64" s="66">
        <f>INDEX(comm_cost!$V$3:$AE$26,MATCH($A64&amp;$B64&amp;$C64,comm_cost!$AF$3:$AF$26,0),MATCH(K$2,comm_cost!$V$2:$AE$2,0))</f>
        <v>11.502102646435342</v>
      </c>
      <c r="L64" s="66">
        <f>INDEX(comm_cost!$V$3:$AE$26,MATCH($A64&amp;$B64&amp;$C64,comm_cost!$AF$3:$AF$26,0),MATCH(L$2,comm_cost!$V$2:$AE$2,0))</f>
        <v>11.546851657487618</v>
      </c>
      <c r="M64" s="66">
        <f>INDEX(comm_cost!$V$3:$AE$26,MATCH($A64&amp;$B64&amp;$C64,comm_cost!$AF$3:$AF$26,0),MATCH(M$2,comm_cost!$V$2:$AE$2,0))</f>
        <v>11.619242714862882</v>
      </c>
      <c r="N64" s="66">
        <f>INDEX(comm_cost!$V$3:$AE$26,MATCH($A64&amp;$B64&amp;$C64,comm_cost!$AF$3:$AF$26,0),MATCH(N$2,comm_cost!$V$2:$AE$2,0))</f>
        <v>11.619242714862882</v>
      </c>
    </row>
    <row r="65" spans="1:14" x14ac:dyDescent="0.2">
      <c r="A65" t="s">
        <v>57</v>
      </c>
      <c r="B65" t="s">
        <v>7</v>
      </c>
      <c r="C65" t="s">
        <v>47</v>
      </c>
      <c r="D65" s="64">
        <f t="shared" si="1"/>
        <v>11.441010052517086</v>
      </c>
      <c r="E65" s="66">
        <f>INDEX(comm_cost!$V$3:$AE$26,MATCH($A65&amp;$B65&amp;$C65,comm_cost!$AF$3:$AF$26,0),MATCH(E$2,comm_cost!$V$2:$AE$2,0))</f>
        <v>11.441010052517086</v>
      </c>
      <c r="F65" s="66">
        <f>INDEX(comm_cost!$V$3:$AE$26,MATCH($A65&amp;$B65&amp;$C65,comm_cost!$AF$3:$AF$26,0),MATCH(F$2,comm_cost!$V$2:$AE$2,0))</f>
        <v>11.441010052517086</v>
      </c>
      <c r="G65" s="66">
        <f>INDEX(comm_cost!$V$3:$AE$26,MATCH($A65&amp;$B65&amp;$C65,comm_cost!$AF$3:$AF$26,0),MATCH(G$2,comm_cost!$V$2:$AE$2,0))</f>
        <v>11.441010052517086</v>
      </c>
      <c r="H65" s="66">
        <f>INDEX(comm_cost!$V$3:$AE$26,MATCH($A65&amp;$B65&amp;$C65,comm_cost!$AF$3:$AF$26,0),MATCH(H$2,comm_cost!$V$2:$AE$2,0))</f>
        <v>11.447370783089223</v>
      </c>
      <c r="I65" s="66">
        <f>INDEX(comm_cost!$V$3:$AE$26,MATCH($A65&amp;$B65&amp;$C65,comm_cost!$AF$3:$AF$26,0),MATCH(I$2,comm_cost!$V$2:$AE$2,0))</f>
        <v>11.45763297092277</v>
      </c>
      <c r="J65" s="66">
        <f>INDEX(comm_cost!$V$3:$AE$26,MATCH($A65&amp;$B65&amp;$C65,comm_cost!$AF$3:$AF$26,0),MATCH(J$2,comm_cost!$V$2:$AE$2,0))</f>
        <v>11.474508587881049</v>
      </c>
      <c r="K65" s="66">
        <f>INDEX(comm_cost!$V$3:$AE$26,MATCH($A65&amp;$B65&amp;$C65,comm_cost!$AF$3:$AF$26,0),MATCH(K$2,comm_cost!$V$2:$AE$2,0))</f>
        <v>11.502102646435342</v>
      </c>
      <c r="L65" s="66">
        <f>INDEX(comm_cost!$V$3:$AE$26,MATCH($A65&amp;$B65&amp;$C65,comm_cost!$AF$3:$AF$26,0),MATCH(L$2,comm_cost!$V$2:$AE$2,0))</f>
        <v>11.546851657487618</v>
      </c>
      <c r="M65" s="66">
        <f>INDEX(comm_cost!$V$3:$AE$26,MATCH($A65&amp;$B65&amp;$C65,comm_cost!$AF$3:$AF$26,0),MATCH(M$2,comm_cost!$V$2:$AE$2,0))</f>
        <v>11.619242714862882</v>
      </c>
      <c r="N65" s="66">
        <f>INDEX(comm_cost!$V$3:$AE$26,MATCH($A65&amp;$B65&amp;$C65,comm_cost!$AF$3:$AF$26,0),MATCH(N$2,comm_cost!$V$2:$AE$2,0))</f>
        <v>11.619242714862882</v>
      </c>
    </row>
    <row r="66" spans="1:14" x14ac:dyDescent="0.2">
      <c r="A66" t="s">
        <v>58</v>
      </c>
      <c r="B66" t="s">
        <v>7</v>
      </c>
      <c r="C66" t="s">
        <v>29</v>
      </c>
      <c r="D66" s="64">
        <f t="shared" si="1"/>
        <v>2.4626231439196049</v>
      </c>
      <c r="E66" s="66">
        <f>INDEX(comm_cost!$V$3:$AE$26,MATCH($A66&amp;$B66&amp;$C66,comm_cost!$AF$3:$AF$26,0),MATCH(E$2,comm_cost!$V$2:$AE$2,0))</f>
        <v>2.4626231439196049</v>
      </c>
      <c r="F66" s="66">
        <f>INDEX(comm_cost!$V$3:$AE$26,MATCH($A66&amp;$B66&amp;$C66,comm_cost!$AF$3:$AF$26,0),MATCH(F$2,comm_cost!$V$2:$AE$2,0))</f>
        <v>2.4626231439196049</v>
      </c>
      <c r="G66" s="66">
        <f>INDEX(comm_cost!$V$3:$AE$26,MATCH($A66&amp;$B66&amp;$C66,comm_cost!$AF$3:$AF$26,0),MATCH(G$2,comm_cost!$V$2:$AE$2,0))</f>
        <v>2.4626231439196049</v>
      </c>
      <c r="H66" s="66">
        <f>INDEX(comm_cost!$V$3:$AE$26,MATCH($A66&amp;$B66&amp;$C66,comm_cost!$AF$3:$AF$26,0),MATCH(H$2,comm_cost!$V$2:$AE$2,0))</f>
        <v>2.4626231439196049</v>
      </c>
      <c r="I66" s="66">
        <f>INDEX(comm_cost!$V$3:$AE$26,MATCH($A66&amp;$B66&amp;$C66,comm_cost!$AF$3:$AF$26,0),MATCH(I$2,comm_cost!$V$2:$AE$2,0))</f>
        <v>2.4626231439196049</v>
      </c>
      <c r="J66" s="66">
        <f>INDEX(comm_cost!$V$3:$AE$26,MATCH($A66&amp;$B66&amp;$C66,comm_cost!$AF$3:$AF$26,0),MATCH(J$2,comm_cost!$V$2:$AE$2,0))</f>
        <v>2.4626231439196049</v>
      </c>
      <c r="K66" s="66">
        <f>INDEX(comm_cost!$V$3:$AE$26,MATCH($A66&amp;$B66&amp;$C66,comm_cost!$AF$3:$AF$26,0),MATCH(K$2,comm_cost!$V$2:$AE$2,0))</f>
        <v>2.4626231439196049</v>
      </c>
      <c r="L66" s="66">
        <f>INDEX(comm_cost!$V$3:$AE$26,MATCH($A66&amp;$B66&amp;$C66,comm_cost!$AF$3:$AF$26,0),MATCH(L$2,comm_cost!$V$2:$AE$2,0))</f>
        <v>2.4626231439196049</v>
      </c>
      <c r="M66" s="66">
        <f>INDEX(comm_cost!$V$3:$AE$26,MATCH($A66&amp;$B66&amp;$C66,comm_cost!$AF$3:$AF$26,0),MATCH(M$2,comm_cost!$V$2:$AE$2,0))</f>
        <v>2.4626231439196049</v>
      </c>
      <c r="N66" s="66">
        <f>INDEX(comm_cost!$V$3:$AE$26,MATCH($A66&amp;$B66&amp;$C66,comm_cost!$AF$3:$AF$26,0),MATCH(N$2,comm_cost!$V$2:$AE$2,0))</f>
        <v>2.4626231439196049</v>
      </c>
    </row>
    <row r="67" spans="1:14" x14ac:dyDescent="0.2">
      <c r="A67" t="s">
        <v>58</v>
      </c>
      <c r="B67" t="s">
        <v>7</v>
      </c>
      <c r="C67" t="s">
        <v>28</v>
      </c>
      <c r="D67" s="64">
        <f t="shared" si="1"/>
        <v>0.42672365713020277</v>
      </c>
      <c r="E67" s="66">
        <f>INDEX(comm_cost!$V$3:$AE$26,MATCH($A67&amp;$B67&amp;$C67,comm_cost!$AF$3:$AF$26,0),MATCH(E$2,comm_cost!$V$2:$AE$2,0))</f>
        <v>0.42672365713020277</v>
      </c>
      <c r="F67" s="66">
        <f>INDEX(comm_cost!$V$3:$AE$26,MATCH($A67&amp;$B67&amp;$C67,comm_cost!$AF$3:$AF$26,0),MATCH(F$2,comm_cost!$V$2:$AE$2,0))</f>
        <v>0.42672365713020277</v>
      </c>
      <c r="G67" s="66">
        <f>INDEX(comm_cost!$V$3:$AE$26,MATCH($A67&amp;$B67&amp;$C67,comm_cost!$AF$3:$AF$26,0),MATCH(G$2,comm_cost!$V$2:$AE$2,0))</f>
        <v>0.42672365713020277</v>
      </c>
      <c r="H67" s="66">
        <f>INDEX(comm_cost!$V$3:$AE$26,MATCH($A67&amp;$B67&amp;$C67,comm_cost!$AF$3:$AF$26,0),MATCH(H$2,comm_cost!$V$2:$AE$2,0))</f>
        <v>0.42672365713020277</v>
      </c>
      <c r="I67" s="66">
        <f>INDEX(comm_cost!$V$3:$AE$26,MATCH($A67&amp;$B67&amp;$C67,comm_cost!$AF$3:$AF$26,0),MATCH(I$2,comm_cost!$V$2:$AE$2,0))</f>
        <v>0.42672365713020277</v>
      </c>
      <c r="J67" s="66">
        <f>INDEX(comm_cost!$V$3:$AE$26,MATCH($A67&amp;$B67&amp;$C67,comm_cost!$AF$3:$AF$26,0),MATCH(J$2,comm_cost!$V$2:$AE$2,0))</f>
        <v>0.42672365713020277</v>
      </c>
      <c r="K67" s="66">
        <f>INDEX(comm_cost!$V$3:$AE$26,MATCH($A67&amp;$B67&amp;$C67,comm_cost!$AF$3:$AF$26,0),MATCH(K$2,comm_cost!$V$2:$AE$2,0))</f>
        <v>0.42672365713020277</v>
      </c>
      <c r="L67" s="66">
        <f>INDEX(comm_cost!$V$3:$AE$26,MATCH($A67&amp;$B67&amp;$C67,comm_cost!$AF$3:$AF$26,0),MATCH(L$2,comm_cost!$V$2:$AE$2,0))</f>
        <v>0.42672365713020277</v>
      </c>
      <c r="M67" s="66">
        <f>INDEX(comm_cost!$V$3:$AE$26,MATCH($A67&amp;$B67&amp;$C67,comm_cost!$AF$3:$AF$26,0),MATCH(M$2,comm_cost!$V$2:$AE$2,0))</f>
        <v>0.42672365713020277</v>
      </c>
      <c r="N67" s="66">
        <f>INDEX(comm_cost!$V$3:$AE$26,MATCH($A67&amp;$B67&amp;$C67,comm_cost!$AF$3:$AF$26,0),MATCH(N$2,comm_cost!$V$2:$AE$2,0))</f>
        <v>0.42672365713020277</v>
      </c>
    </row>
    <row r="68" spans="1:14" x14ac:dyDescent="0.2">
      <c r="A68" t="s">
        <v>58</v>
      </c>
      <c r="B68" t="s">
        <v>7</v>
      </c>
      <c r="C68" t="s">
        <v>30</v>
      </c>
      <c r="D68" s="64">
        <f t="shared" si="1"/>
        <v>0.48706028200634571</v>
      </c>
      <c r="E68" s="66">
        <f>INDEX(comm_cost!$V$3:$AE$26,MATCH($A68&amp;$B68&amp;$C68,comm_cost!$AF$3:$AF$26,0),MATCH(E$2,comm_cost!$V$2:$AE$2,0))</f>
        <v>0.48706028200634571</v>
      </c>
      <c r="F68" s="66">
        <f>INDEX(comm_cost!$V$3:$AE$26,MATCH($A68&amp;$B68&amp;$C68,comm_cost!$AF$3:$AF$26,0),MATCH(F$2,comm_cost!$V$2:$AE$2,0))</f>
        <v>0.48706028200634571</v>
      </c>
      <c r="G68" s="66">
        <f>INDEX(comm_cost!$V$3:$AE$26,MATCH($A68&amp;$B68&amp;$C68,comm_cost!$AF$3:$AF$26,0),MATCH(G$2,comm_cost!$V$2:$AE$2,0))</f>
        <v>0.48706028200634571</v>
      </c>
      <c r="H68" s="66">
        <f>INDEX(comm_cost!$V$3:$AE$26,MATCH($A68&amp;$B68&amp;$C68,comm_cost!$AF$3:$AF$26,0),MATCH(H$2,comm_cost!$V$2:$AE$2,0))</f>
        <v>0.55396535225736265</v>
      </c>
      <c r="I68" s="66">
        <f>INDEX(comm_cost!$V$3:$AE$26,MATCH($A68&amp;$B68&amp;$C68,comm_cost!$AF$3:$AF$26,0),MATCH(I$2,comm_cost!$V$2:$AE$2,0))</f>
        <v>0.61128238772182997</v>
      </c>
      <c r="J68" s="66">
        <f>INDEX(comm_cost!$V$3:$AE$26,MATCH($A68&amp;$B68&amp;$C68,comm_cost!$AF$3:$AF$26,0),MATCH(J$2,comm_cost!$V$2:$AE$2,0))</f>
        <v>0.65709158953396085</v>
      </c>
      <c r="K68" s="66">
        <f>INDEX(comm_cost!$V$3:$AE$26,MATCH($A68&amp;$B68&amp;$C68,comm_cost!$AF$3:$AF$26,0),MATCH(K$2,comm_cost!$V$2:$AE$2,0))</f>
        <v>0.76829247662332667</v>
      </c>
      <c r="L68" s="66">
        <f>INDEX(comm_cost!$V$3:$AE$26,MATCH($A68&amp;$B68&amp;$C68,comm_cost!$AF$3:$AF$26,0),MATCH(L$2,comm_cost!$V$2:$AE$2,0))</f>
        <v>0.93715953192410162</v>
      </c>
      <c r="M68" s="66">
        <f>INDEX(comm_cost!$V$3:$AE$26,MATCH($A68&amp;$B68&amp;$C68,comm_cost!$AF$3:$AF$26,0),MATCH(M$2,comm_cost!$V$2:$AE$2,0))</f>
        <v>1.3514063143422603</v>
      </c>
      <c r="N68" s="66">
        <f>INDEX(comm_cost!$V$3:$AE$26,MATCH($A68&amp;$B68&amp;$C68,comm_cost!$AF$3:$AF$26,0),MATCH(N$2,comm_cost!$V$2:$AE$2,0))</f>
        <v>1.3514063143422603</v>
      </c>
    </row>
    <row r="69" spans="1:14" x14ac:dyDescent="0.2">
      <c r="A69" t="s">
        <v>59</v>
      </c>
      <c r="B69" t="s">
        <v>7</v>
      </c>
      <c r="C69" t="s">
        <v>60</v>
      </c>
      <c r="D69" s="64">
        <f t="shared" si="1"/>
        <v>26.92164986331758</v>
      </c>
      <c r="E69" s="66">
        <f>INDEX(comm_cost!$V$3:$AE$26,MATCH($A69&amp;$B69&amp;$C69,comm_cost!$AF$3:$AF$26,0),MATCH(E$2,comm_cost!$V$2:$AE$2,0))</f>
        <v>26.92164986331758</v>
      </c>
      <c r="F69" s="66">
        <f>INDEX(comm_cost!$V$3:$AE$26,MATCH($A69&amp;$B69&amp;$C69,comm_cost!$AF$3:$AF$26,0),MATCH(F$2,comm_cost!$V$2:$AE$2,0))</f>
        <v>26.92164986331758</v>
      </c>
      <c r="G69" s="66">
        <f>INDEX(comm_cost!$V$3:$AE$26,MATCH($A69&amp;$B69&amp;$C69,comm_cost!$AF$3:$AF$26,0),MATCH(G$2,comm_cost!$V$2:$AE$2,0))</f>
        <v>26.92164986331758</v>
      </c>
      <c r="H69" s="66">
        <f>INDEX(comm_cost!$V$3:$AE$26,MATCH($A69&amp;$B69&amp;$C69,comm_cost!$AF$3:$AF$26,0),MATCH(H$2,comm_cost!$V$2:$AE$2,0))</f>
        <v>27.114782252380031</v>
      </c>
      <c r="I69" s="66">
        <f>INDEX(comm_cost!$V$3:$AE$26,MATCH($A69&amp;$B69&amp;$C69,comm_cost!$AF$3:$AF$26,0),MATCH(I$2,comm_cost!$V$2:$AE$2,0))</f>
        <v>27.241110760051736</v>
      </c>
      <c r="J69" s="66">
        <f>INDEX(comm_cost!$V$3:$AE$26,MATCH($A69&amp;$B69&amp;$C69,comm_cost!$AF$3:$AF$26,0),MATCH(J$2,comm_cost!$V$2:$AE$2,0))</f>
        <v>27.274853069919828</v>
      </c>
      <c r="K69" s="66">
        <f>INDEX(comm_cost!$V$3:$AE$26,MATCH($A69&amp;$B69&amp;$C69,comm_cost!$AF$3:$AF$26,0),MATCH(K$2,comm_cost!$V$2:$AE$2,0))</f>
        <v>27.292528037871548</v>
      </c>
      <c r="L69" s="66">
        <f>INDEX(comm_cost!$V$3:$AE$26,MATCH($A69&amp;$B69&amp;$C69,comm_cost!$AF$3:$AF$26,0),MATCH(L$2,comm_cost!$V$2:$AE$2,0))</f>
        <v>27.301997148682585</v>
      </c>
      <c r="M69" s="66">
        <f>INDEX(comm_cost!$V$3:$AE$26,MATCH($A69&amp;$B69&amp;$C69,comm_cost!$AF$3:$AF$26,0),MATCH(M$2,comm_cost!$V$2:$AE$2,0))</f>
        <v>27.307098687674394</v>
      </c>
      <c r="N69" s="66">
        <f>INDEX(comm_cost!$V$3:$AE$26,MATCH($A69&amp;$B69&amp;$C69,comm_cost!$AF$3:$AF$26,0),MATCH(N$2,comm_cost!$V$2:$AE$2,0))</f>
        <v>27.307098687674394</v>
      </c>
    </row>
    <row r="70" spans="1:14" x14ac:dyDescent="0.2">
      <c r="A70" t="s">
        <v>59</v>
      </c>
      <c r="B70" t="s">
        <v>7</v>
      </c>
      <c r="C70" t="s">
        <v>61</v>
      </c>
      <c r="D70" s="64">
        <f t="shared" si="1"/>
        <v>26.92164986331758</v>
      </c>
      <c r="E70" s="66">
        <f>INDEX(comm_cost!$V$3:$AE$26,MATCH($A70&amp;$B70&amp;$C70,comm_cost!$AF$3:$AF$26,0),MATCH(E$2,comm_cost!$V$2:$AE$2,0))</f>
        <v>26.92164986331758</v>
      </c>
      <c r="F70" s="66">
        <f>INDEX(comm_cost!$V$3:$AE$26,MATCH($A70&amp;$B70&amp;$C70,comm_cost!$AF$3:$AF$26,0),MATCH(F$2,comm_cost!$V$2:$AE$2,0))</f>
        <v>26.92164986331758</v>
      </c>
      <c r="G70" s="66">
        <f>INDEX(comm_cost!$V$3:$AE$26,MATCH($A70&amp;$B70&amp;$C70,comm_cost!$AF$3:$AF$26,0),MATCH(G$2,comm_cost!$V$2:$AE$2,0))</f>
        <v>26.92164986331758</v>
      </c>
      <c r="H70" s="66">
        <f>INDEX(comm_cost!$V$3:$AE$26,MATCH($A70&amp;$B70&amp;$C70,comm_cost!$AF$3:$AF$26,0),MATCH(H$2,comm_cost!$V$2:$AE$2,0))</f>
        <v>27.114782252380031</v>
      </c>
      <c r="I70" s="66">
        <f>INDEX(comm_cost!$V$3:$AE$26,MATCH($A70&amp;$B70&amp;$C70,comm_cost!$AF$3:$AF$26,0),MATCH(I$2,comm_cost!$V$2:$AE$2,0))</f>
        <v>27.241110760051736</v>
      </c>
      <c r="J70" s="66">
        <f>INDEX(comm_cost!$V$3:$AE$26,MATCH($A70&amp;$B70&amp;$C70,comm_cost!$AF$3:$AF$26,0),MATCH(J$2,comm_cost!$V$2:$AE$2,0))</f>
        <v>27.274853069919828</v>
      </c>
      <c r="K70" s="66">
        <f>INDEX(comm_cost!$V$3:$AE$26,MATCH($A70&amp;$B70&amp;$C70,comm_cost!$AF$3:$AF$26,0),MATCH(K$2,comm_cost!$V$2:$AE$2,0))</f>
        <v>27.292528037871548</v>
      </c>
      <c r="L70" s="66">
        <f>INDEX(comm_cost!$V$3:$AE$26,MATCH($A70&amp;$B70&amp;$C70,comm_cost!$AF$3:$AF$26,0),MATCH(L$2,comm_cost!$V$2:$AE$2,0))</f>
        <v>27.301997148682585</v>
      </c>
      <c r="M70" s="66">
        <f>INDEX(comm_cost!$V$3:$AE$26,MATCH($A70&amp;$B70&amp;$C70,comm_cost!$AF$3:$AF$26,0),MATCH(M$2,comm_cost!$V$2:$AE$2,0))</f>
        <v>27.307098687674394</v>
      </c>
      <c r="N70" s="66">
        <f>INDEX(comm_cost!$V$3:$AE$26,MATCH($A70&amp;$B70&amp;$C70,comm_cost!$AF$3:$AF$26,0),MATCH(N$2,comm_cost!$V$2:$AE$2,0))</f>
        <v>27.307098687674394</v>
      </c>
    </row>
    <row r="71" spans="1:14" x14ac:dyDescent="0.2">
      <c r="A71" t="s">
        <v>62</v>
      </c>
      <c r="B71" t="s">
        <v>7</v>
      </c>
      <c r="C71" t="s">
        <v>63</v>
      </c>
      <c r="D71" s="64">
        <f t="shared" ref="D71:D74" si="9">E71</f>
        <v>44.186999999999998</v>
      </c>
      <c r="E71">
        <v>44.186999999999998</v>
      </c>
      <c r="F71">
        <v>43.529000000000003</v>
      </c>
      <c r="G71">
        <v>42.881</v>
      </c>
      <c r="H71">
        <v>42.881</v>
      </c>
      <c r="I71">
        <v>42.881</v>
      </c>
      <c r="J71">
        <v>42.241999999999997</v>
      </c>
      <c r="K71">
        <v>41.613</v>
      </c>
      <c r="L71">
        <f>K71</f>
        <v>41.613</v>
      </c>
      <c r="M71">
        <f>L71</f>
        <v>41.613</v>
      </c>
      <c r="N71">
        <v>40.381999999999998</v>
      </c>
    </row>
    <row r="72" spans="1:14" x14ac:dyDescent="0.2">
      <c r="A72" t="s">
        <v>64</v>
      </c>
      <c r="B72" t="s">
        <v>31</v>
      </c>
      <c r="C72" t="s">
        <v>31</v>
      </c>
      <c r="D72" s="64">
        <f t="shared" si="9"/>
        <v>20</v>
      </c>
      <c r="E72">
        <v>20</v>
      </c>
      <c r="F72">
        <v>19.702000000000002</v>
      </c>
      <c r="G72">
        <v>19.408999999999999</v>
      </c>
      <c r="H72">
        <v>19.408999999999999</v>
      </c>
      <c r="I72">
        <v>19.408999999999999</v>
      </c>
      <c r="J72">
        <v>19.12</v>
      </c>
      <c r="K72">
        <v>18.835000000000001</v>
      </c>
      <c r="L72">
        <f t="shared" ref="L72:M74" si="10">K72</f>
        <v>18.835000000000001</v>
      </c>
      <c r="M72">
        <f t="shared" si="10"/>
        <v>18.835000000000001</v>
      </c>
      <c r="N72">
        <v>18.277999999999999</v>
      </c>
    </row>
    <row r="73" spans="1:14" x14ac:dyDescent="0.2">
      <c r="A73" t="s">
        <v>64</v>
      </c>
      <c r="B73" t="s">
        <v>7</v>
      </c>
      <c r="C73" t="s">
        <v>7</v>
      </c>
      <c r="D73" s="64">
        <f t="shared" si="9"/>
        <v>40.064</v>
      </c>
      <c r="E73">
        <v>40.064</v>
      </c>
      <c r="F73">
        <v>39.466999999999999</v>
      </c>
      <c r="G73">
        <v>38.878999999999998</v>
      </c>
      <c r="H73">
        <v>38.878999999999998</v>
      </c>
      <c r="I73">
        <v>38.878999999999998</v>
      </c>
      <c r="J73">
        <v>38.299999999999997</v>
      </c>
      <c r="K73">
        <v>37.729999999999997</v>
      </c>
      <c r="L73">
        <f t="shared" si="10"/>
        <v>37.729999999999997</v>
      </c>
      <c r="M73">
        <f t="shared" si="10"/>
        <v>37.729999999999997</v>
      </c>
      <c r="N73">
        <v>36.613999999999997</v>
      </c>
    </row>
    <row r="74" spans="1:14" x14ac:dyDescent="0.2">
      <c r="A74" t="s">
        <v>64</v>
      </c>
      <c r="B74" t="s">
        <v>8</v>
      </c>
      <c r="C74" t="s">
        <v>8</v>
      </c>
      <c r="D74" s="64">
        <f t="shared" si="9"/>
        <v>20</v>
      </c>
      <c r="E74">
        <v>20</v>
      </c>
      <c r="F74">
        <v>19.702000000000002</v>
      </c>
      <c r="G74">
        <v>19.408999999999999</v>
      </c>
      <c r="H74">
        <v>19.408999999999999</v>
      </c>
      <c r="I74">
        <v>19.408999999999999</v>
      </c>
      <c r="J74">
        <v>19.12</v>
      </c>
      <c r="K74">
        <v>18.835000000000001</v>
      </c>
      <c r="L74">
        <f t="shared" si="10"/>
        <v>18.835000000000001</v>
      </c>
      <c r="M74">
        <f t="shared" si="10"/>
        <v>18.835000000000001</v>
      </c>
      <c r="N74">
        <v>18.277999999999999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75"/>
  <sheetViews>
    <sheetView zoomScale="85" zoomScaleNormal="85" workbookViewId="0">
      <selection activeCell="E96" sqref="E96"/>
    </sheetView>
  </sheetViews>
  <sheetFormatPr baseColWidth="10" defaultColWidth="11.5" defaultRowHeight="15" x14ac:dyDescent="0.2"/>
  <cols>
    <col min="1" max="1" width="17.33203125" bestFit="1" customWidth="1"/>
    <col min="2" max="2" width="12" bestFit="1" customWidth="1"/>
    <col min="3" max="3" width="29.33203125" bestFit="1" customWidth="1"/>
    <col min="4" max="4" width="17.83203125" bestFit="1" customWidth="1"/>
  </cols>
  <sheetData>
    <row r="1" spans="1:15" x14ac:dyDescent="0.2">
      <c r="A1" t="s">
        <v>130</v>
      </c>
    </row>
    <row r="2" spans="1:15" x14ac:dyDescent="0.2">
      <c r="A2" t="s">
        <v>50</v>
      </c>
      <c r="B2" t="s">
        <v>51</v>
      </c>
      <c r="C2" t="s">
        <v>52</v>
      </c>
      <c r="D2" t="s">
        <v>117</v>
      </c>
      <c r="E2" s="64">
        <v>1971</v>
      </c>
      <c r="F2">
        <v>2010</v>
      </c>
      <c r="G2">
        <v>2015</v>
      </c>
      <c r="H2">
        <v>2020</v>
      </c>
      <c r="I2">
        <v>2025</v>
      </c>
      <c r="J2">
        <v>2030</v>
      </c>
      <c r="K2">
        <v>2035</v>
      </c>
      <c r="L2">
        <v>2040</v>
      </c>
      <c r="M2">
        <v>2045</v>
      </c>
      <c r="N2">
        <v>2050</v>
      </c>
      <c r="O2">
        <v>2100</v>
      </c>
    </row>
    <row r="3" spans="1:15" x14ac:dyDescent="0.2">
      <c r="A3" t="s">
        <v>70</v>
      </c>
      <c r="B3" t="s">
        <v>105</v>
      </c>
      <c r="C3" t="s">
        <v>106</v>
      </c>
      <c r="D3" t="s">
        <v>118</v>
      </c>
      <c r="E3" s="64">
        <f t="shared" ref="E3:E4" si="0">F3</f>
        <v>0.4</v>
      </c>
      <c r="F3">
        <v>0.4</v>
      </c>
      <c r="G3">
        <v>0.4</v>
      </c>
      <c r="H3">
        <v>0.4</v>
      </c>
      <c r="I3">
        <v>0.4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</row>
    <row r="4" spans="1:15" x14ac:dyDescent="0.2">
      <c r="A4" t="s">
        <v>70</v>
      </c>
      <c r="B4" t="s">
        <v>107</v>
      </c>
      <c r="C4" t="s">
        <v>108</v>
      </c>
      <c r="D4" t="s">
        <v>119</v>
      </c>
      <c r="E4" s="64">
        <f t="shared" si="0"/>
        <v>0.4</v>
      </c>
      <c r="F4">
        <v>0.4</v>
      </c>
      <c r="G4">
        <v>0.4</v>
      </c>
      <c r="H4">
        <v>0.4</v>
      </c>
      <c r="I4">
        <v>0.4</v>
      </c>
      <c r="J4">
        <v>0.4</v>
      </c>
      <c r="K4">
        <v>0.4</v>
      </c>
      <c r="L4">
        <v>0.4</v>
      </c>
      <c r="M4">
        <v>0.4</v>
      </c>
      <c r="N4">
        <v>0.4</v>
      </c>
      <c r="O4">
        <v>0.4</v>
      </c>
    </row>
    <row r="5" spans="1:15" x14ac:dyDescent="0.2">
      <c r="A5" t="s">
        <v>70</v>
      </c>
      <c r="B5" t="s">
        <v>31</v>
      </c>
      <c r="C5" t="s">
        <v>15</v>
      </c>
      <c r="D5" t="s">
        <v>120</v>
      </c>
      <c r="E5" s="65">
        <f>F5</f>
        <v>0.85942170145210095</v>
      </c>
      <c r="F5" s="66">
        <f>INDEX(res_eff!$R$3:$AA$35,MATCH($A5&amp;$B5&amp;$C5,res_eff!$AC$3:$AC$35,0),MATCH(F$2,res_eff!$R$2:$AA$2,0))</f>
        <v>0.85942170145210095</v>
      </c>
      <c r="G5" s="66">
        <f>INDEX(res_eff!$R$3:$AA$35,MATCH($A5&amp;$B5&amp;$C5,res_eff!$AC$3:$AC$35,0),MATCH(G$2,res_eff!$R$2:$AA$2,0))</f>
        <v>0.85942170145210095</v>
      </c>
      <c r="H5" s="66">
        <f>INDEX(res_eff!$R$3:$AA$35,MATCH($A5&amp;$B5&amp;$C5,res_eff!$AC$3:$AC$35,0),MATCH(H$2,res_eff!$R$2:$AA$2,0))</f>
        <v>0.85942170145210095</v>
      </c>
      <c r="I5" s="66">
        <f>INDEX(res_eff!$R$3:$AA$35,MATCH($A5&amp;$B5&amp;$C5,res_eff!$AC$3:$AC$35,0),MATCH(I$2,res_eff!$R$2:$AA$2,0))</f>
        <v>0.85942170145210095</v>
      </c>
      <c r="J5" s="66">
        <f>INDEX(res_eff!$R$3:$AA$35,MATCH($A5&amp;$B5&amp;$C5,res_eff!$AC$3:$AC$35,0),MATCH(J$2,res_eff!$R$2:$AA$2,0))</f>
        <v>0.85942170145210095</v>
      </c>
      <c r="K5" s="66">
        <f>INDEX(res_eff!$R$3:$AA$35,MATCH($A5&amp;$B5&amp;$C5,res_eff!$AC$3:$AC$35,0),MATCH(K$2,res_eff!$R$2:$AA$2,0))</f>
        <v>0.85942170145210095</v>
      </c>
      <c r="L5" s="66">
        <f>INDEX(res_eff!$R$3:$AA$35,MATCH($A5&amp;$B5&amp;$C5,res_eff!$AC$3:$AC$35,0),MATCH(L$2,res_eff!$R$2:$AA$2,0))</f>
        <v>0.85942170145210095</v>
      </c>
      <c r="M5" s="66">
        <f>INDEX(res_eff!$R$3:$AA$35,MATCH($A5&amp;$B5&amp;$C5,res_eff!$AC$3:$AC$35,0),MATCH(M$2,res_eff!$R$2:$AA$2,0))</f>
        <v>0.85942170145210095</v>
      </c>
      <c r="N5" s="66">
        <f>INDEX(res_eff!$R$3:$AA$35,MATCH($A5&amp;$B5&amp;$C5,res_eff!$AC$3:$AC$35,0),MATCH(N$2,res_eff!$R$2:$AA$2,0))</f>
        <v>0.85942170145210095</v>
      </c>
      <c r="O5" s="66">
        <f>INDEX(res_eff!$R$3:$AA$35,MATCH($A5&amp;$B5&amp;$C5,res_eff!$AC$3:$AC$35,0),MATCH(O$2,res_eff!$R$2:$AA$2,0))</f>
        <v>0.85942170145210095</v>
      </c>
    </row>
    <row r="6" spans="1:15" x14ac:dyDescent="0.2">
      <c r="A6" t="s">
        <v>70</v>
      </c>
      <c r="B6" t="s">
        <v>31</v>
      </c>
      <c r="C6" t="s">
        <v>16</v>
      </c>
      <c r="D6" t="s">
        <v>120</v>
      </c>
      <c r="E6" s="65">
        <f t="shared" ref="E6:E68" si="1">F6</f>
        <v>0.93</v>
      </c>
      <c r="F6" s="66">
        <f>INDEX(res_eff!$R$3:$AA$35,MATCH($A6&amp;$B6&amp;$C6,res_eff!$AC$3:$AC$35,0),MATCH(F$2,res_eff!$R$2:$AA$2,0))</f>
        <v>0.93</v>
      </c>
      <c r="G6" s="66">
        <f>INDEX(res_eff!$R$3:$AA$35,MATCH($A6&amp;$B6&amp;$C6,res_eff!$AC$3:$AC$35,0),MATCH(G$2,res_eff!$R$2:$AA$2,0))</f>
        <v>0.93</v>
      </c>
      <c r="H6" s="66">
        <f>INDEX(res_eff!$R$3:$AA$35,MATCH($A6&amp;$B6&amp;$C6,res_eff!$AC$3:$AC$35,0),MATCH(H$2,res_eff!$R$2:$AA$2,0))</f>
        <v>0.93</v>
      </c>
      <c r="I6" s="66">
        <f>INDEX(res_eff!$R$3:$AA$35,MATCH($A6&amp;$B6&amp;$C6,res_eff!$AC$3:$AC$35,0),MATCH(I$2,res_eff!$R$2:$AA$2,0))</f>
        <v>0.93</v>
      </c>
      <c r="J6" s="66">
        <f>INDEX(res_eff!$R$3:$AA$35,MATCH($A6&amp;$B6&amp;$C6,res_eff!$AC$3:$AC$35,0),MATCH(J$2,res_eff!$R$2:$AA$2,0))</f>
        <v>0.93</v>
      </c>
      <c r="K6" s="66">
        <f>INDEX(res_eff!$R$3:$AA$35,MATCH($A6&amp;$B6&amp;$C6,res_eff!$AC$3:$AC$35,0),MATCH(K$2,res_eff!$R$2:$AA$2,0))</f>
        <v>0.93</v>
      </c>
      <c r="L6" s="66">
        <f>INDEX(res_eff!$R$3:$AA$35,MATCH($A6&amp;$B6&amp;$C6,res_eff!$AC$3:$AC$35,0),MATCH(L$2,res_eff!$R$2:$AA$2,0))</f>
        <v>0.93</v>
      </c>
      <c r="M6" s="66">
        <f>INDEX(res_eff!$R$3:$AA$35,MATCH($A6&amp;$B6&amp;$C6,res_eff!$AC$3:$AC$35,0),MATCH(M$2,res_eff!$R$2:$AA$2,0))</f>
        <v>0.93</v>
      </c>
      <c r="N6" s="66">
        <f>INDEX(res_eff!$R$3:$AA$35,MATCH($A6&amp;$B6&amp;$C6,res_eff!$AC$3:$AC$35,0),MATCH(N$2,res_eff!$R$2:$AA$2,0))</f>
        <v>0.93</v>
      </c>
      <c r="O6" s="66">
        <f>INDEX(res_eff!$R$3:$AA$35,MATCH($A6&amp;$B6&amp;$C6,res_eff!$AC$3:$AC$35,0),MATCH(O$2,res_eff!$R$2:$AA$2,0))</f>
        <v>0.93</v>
      </c>
    </row>
    <row r="7" spans="1:15" x14ac:dyDescent="0.2">
      <c r="A7" t="s">
        <v>70</v>
      </c>
      <c r="B7" t="s">
        <v>7</v>
      </c>
      <c r="C7" t="s">
        <v>17</v>
      </c>
      <c r="D7" t="s">
        <v>121</v>
      </c>
      <c r="E7" s="65">
        <f t="shared" si="1"/>
        <v>0.98</v>
      </c>
      <c r="F7" s="66">
        <f>INDEX(res_eff!$R$3:$AA$35,MATCH($A7&amp;$B7&amp;$C7,res_eff!$AC$3:$AC$35,0),MATCH(F$2,res_eff!$R$2:$AA$2,0))</f>
        <v>0.98</v>
      </c>
      <c r="G7" s="66">
        <f>INDEX(res_eff!$R$3:$AA$35,MATCH($A7&amp;$B7&amp;$C7,res_eff!$AC$3:$AC$35,0),MATCH(G$2,res_eff!$R$2:$AA$2,0))</f>
        <v>0.98</v>
      </c>
      <c r="H7" s="66">
        <f>INDEX(res_eff!$R$3:$AA$35,MATCH($A7&amp;$B7&amp;$C7,res_eff!$AC$3:$AC$35,0),MATCH(H$2,res_eff!$R$2:$AA$2,0))</f>
        <v>0.98</v>
      </c>
      <c r="I7" s="66">
        <f>INDEX(res_eff!$R$3:$AA$35,MATCH($A7&amp;$B7&amp;$C7,res_eff!$AC$3:$AC$35,0),MATCH(I$2,res_eff!$R$2:$AA$2,0))</f>
        <v>0.98</v>
      </c>
      <c r="J7" s="66">
        <f>INDEX(res_eff!$R$3:$AA$35,MATCH($A7&amp;$B7&amp;$C7,res_eff!$AC$3:$AC$35,0),MATCH(J$2,res_eff!$R$2:$AA$2,0))</f>
        <v>0.98</v>
      </c>
      <c r="K7" s="66">
        <f>INDEX(res_eff!$R$3:$AA$35,MATCH($A7&amp;$B7&amp;$C7,res_eff!$AC$3:$AC$35,0),MATCH(K$2,res_eff!$R$2:$AA$2,0))</f>
        <v>0.98</v>
      </c>
      <c r="L7" s="66">
        <f>INDEX(res_eff!$R$3:$AA$35,MATCH($A7&amp;$B7&amp;$C7,res_eff!$AC$3:$AC$35,0),MATCH(L$2,res_eff!$R$2:$AA$2,0))</f>
        <v>0.98</v>
      </c>
      <c r="M7" s="66">
        <f>INDEX(res_eff!$R$3:$AA$35,MATCH($A7&amp;$B7&amp;$C7,res_eff!$AC$3:$AC$35,0),MATCH(M$2,res_eff!$R$2:$AA$2,0))</f>
        <v>0.98</v>
      </c>
      <c r="N7" s="66">
        <f>INDEX(res_eff!$R$3:$AA$35,MATCH($A7&amp;$B7&amp;$C7,res_eff!$AC$3:$AC$35,0),MATCH(N$2,res_eff!$R$2:$AA$2,0))</f>
        <v>0.98</v>
      </c>
      <c r="O7" s="66">
        <f>INDEX(res_eff!$R$3:$AA$35,MATCH($A7&amp;$B7&amp;$C7,res_eff!$AC$3:$AC$35,0),MATCH(O$2,res_eff!$R$2:$AA$2,0))</f>
        <v>0.98</v>
      </c>
    </row>
    <row r="8" spans="1:15" x14ac:dyDescent="0.2">
      <c r="A8" t="s">
        <v>70</v>
      </c>
      <c r="B8" t="s">
        <v>7</v>
      </c>
      <c r="C8" t="s">
        <v>18</v>
      </c>
      <c r="D8" t="s">
        <v>121</v>
      </c>
      <c r="E8" s="65">
        <f t="shared" si="1"/>
        <v>2.7</v>
      </c>
      <c r="F8" s="66">
        <f>INDEX(res_eff!$R$3:$AA$35,MATCH($A8&amp;$B8&amp;$C8,res_eff!$AC$3:$AC$35,0),MATCH(F$2,res_eff!$R$2:$AA$2,0))</f>
        <v>2.7</v>
      </c>
      <c r="G8" s="66">
        <f>INDEX(res_eff!$R$3:$AA$35,MATCH($A8&amp;$B8&amp;$C8,res_eff!$AC$3:$AC$35,0),MATCH(G$2,res_eff!$R$2:$AA$2,0))</f>
        <v>2.7</v>
      </c>
      <c r="H8" s="66">
        <f>INDEX(res_eff!$R$3:$AA$35,MATCH($A8&amp;$B8&amp;$C8,res_eff!$AC$3:$AC$35,0),MATCH(H$2,res_eff!$R$2:$AA$2,0))</f>
        <v>2.7</v>
      </c>
      <c r="I8" s="66">
        <f>INDEX(res_eff!$R$3:$AA$35,MATCH($A8&amp;$B8&amp;$C8,res_eff!$AC$3:$AC$35,0),MATCH(I$2,res_eff!$R$2:$AA$2,0))</f>
        <v>2.7</v>
      </c>
      <c r="J8" s="66">
        <f>INDEX(res_eff!$R$3:$AA$35,MATCH($A8&amp;$B8&amp;$C8,res_eff!$AC$3:$AC$35,0),MATCH(J$2,res_eff!$R$2:$AA$2,0))</f>
        <v>2.7</v>
      </c>
      <c r="K8" s="66">
        <f>INDEX(res_eff!$R$3:$AA$35,MATCH($A8&amp;$B8&amp;$C8,res_eff!$AC$3:$AC$35,0),MATCH(K$2,res_eff!$R$2:$AA$2,0))</f>
        <v>2.7</v>
      </c>
      <c r="L8" s="66">
        <f>INDEX(res_eff!$R$3:$AA$35,MATCH($A8&amp;$B8&amp;$C8,res_eff!$AC$3:$AC$35,0),MATCH(L$2,res_eff!$R$2:$AA$2,0))</f>
        <v>2.7</v>
      </c>
      <c r="M8" s="66">
        <f>INDEX(res_eff!$R$3:$AA$35,MATCH($A8&amp;$B8&amp;$C8,res_eff!$AC$3:$AC$35,0),MATCH(M$2,res_eff!$R$2:$AA$2,0))</f>
        <v>2.7</v>
      </c>
      <c r="N8" s="66">
        <f>INDEX(res_eff!$R$3:$AA$35,MATCH($A8&amp;$B8&amp;$C8,res_eff!$AC$3:$AC$35,0),MATCH(N$2,res_eff!$R$2:$AA$2,0))</f>
        <v>2.7</v>
      </c>
      <c r="O8" s="66">
        <f>INDEX(res_eff!$R$3:$AA$35,MATCH($A8&amp;$B8&amp;$C8,res_eff!$AC$3:$AC$35,0),MATCH(O$2,res_eff!$R$2:$AA$2,0))</f>
        <v>2.7</v>
      </c>
    </row>
    <row r="9" spans="1:15" x14ac:dyDescent="0.2">
      <c r="A9" t="s">
        <v>70</v>
      </c>
      <c r="B9" t="s">
        <v>8</v>
      </c>
      <c r="C9" t="s">
        <v>19</v>
      </c>
      <c r="D9" t="s">
        <v>122</v>
      </c>
      <c r="E9" s="65">
        <f t="shared" si="1"/>
        <v>0.84</v>
      </c>
      <c r="F9" s="66">
        <f>INDEX(res_eff!$R$3:$AA$35,MATCH($A9&amp;$B9&amp;$C9,res_eff!$AC$3:$AC$35,0),MATCH(F$2,res_eff!$R$2:$AA$2,0))</f>
        <v>0.84</v>
      </c>
      <c r="G9" s="66">
        <f>INDEX(res_eff!$R$3:$AA$35,MATCH($A9&amp;$B9&amp;$C9,res_eff!$AC$3:$AC$35,0),MATCH(G$2,res_eff!$R$2:$AA$2,0))</f>
        <v>0.84</v>
      </c>
      <c r="H9" s="66">
        <f>INDEX(res_eff!$R$3:$AA$35,MATCH($A9&amp;$B9&amp;$C9,res_eff!$AC$3:$AC$35,0),MATCH(H$2,res_eff!$R$2:$AA$2,0))</f>
        <v>0.84</v>
      </c>
      <c r="I9" s="66">
        <f>INDEX(res_eff!$R$3:$AA$35,MATCH($A9&amp;$B9&amp;$C9,res_eff!$AC$3:$AC$35,0),MATCH(I$2,res_eff!$R$2:$AA$2,0))</f>
        <v>0.84</v>
      </c>
      <c r="J9" s="66">
        <f>INDEX(res_eff!$R$3:$AA$35,MATCH($A9&amp;$B9&amp;$C9,res_eff!$AC$3:$AC$35,0),MATCH(J$2,res_eff!$R$2:$AA$2,0))</f>
        <v>0.84</v>
      </c>
      <c r="K9" s="66">
        <f>INDEX(res_eff!$R$3:$AA$35,MATCH($A9&amp;$B9&amp;$C9,res_eff!$AC$3:$AC$35,0),MATCH(K$2,res_eff!$R$2:$AA$2,0))</f>
        <v>0.84</v>
      </c>
      <c r="L9" s="66">
        <f>INDEX(res_eff!$R$3:$AA$35,MATCH($A9&amp;$B9&amp;$C9,res_eff!$AC$3:$AC$35,0),MATCH(L$2,res_eff!$R$2:$AA$2,0))</f>
        <v>0.84</v>
      </c>
      <c r="M9" s="66">
        <f>INDEX(res_eff!$R$3:$AA$35,MATCH($A9&amp;$B9&amp;$C9,res_eff!$AC$3:$AC$35,0),MATCH(M$2,res_eff!$R$2:$AA$2,0))</f>
        <v>0.84</v>
      </c>
      <c r="N9" s="66">
        <f>INDEX(res_eff!$R$3:$AA$35,MATCH($A9&amp;$B9&amp;$C9,res_eff!$AC$3:$AC$35,0),MATCH(N$2,res_eff!$R$2:$AA$2,0))</f>
        <v>0.84</v>
      </c>
      <c r="O9" s="66">
        <f>INDEX(res_eff!$R$3:$AA$35,MATCH($A9&amp;$B9&amp;$C9,res_eff!$AC$3:$AC$35,0),MATCH(O$2,res_eff!$R$2:$AA$2,0))</f>
        <v>0.84</v>
      </c>
    </row>
    <row r="10" spans="1:15" x14ac:dyDescent="0.2">
      <c r="A10" t="s">
        <v>70</v>
      </c>
      <c r="B10" t="s">
        <v>8</v>
      </c>
      <c r="C10" t="s">
        <v>20</v>
      </c>
      <c r="D10" t="s">
        <v>122</v>
      </c>
      <c r="E10" s="65">
        <f t="shared" si="1"/>
        <v>0.85</v>
      </c>
      <c r="F10" s="66">
        <f>INDEX(res_eff!$R$3:$AA$35,MATCH($A10&amp;$B10&amp;$C10,res_eff!$AC$3:$AC$35,0),MATCH(F$2,res_eff!$R$2:$AA$2,0))</f>
        <v>0.85</v>
      </c>
      <c r="G10" s="66">
        <f>INDEX(res_eff!$R$3:$AA$35,MATCH($A10&amp;$B10&amp;$C10,res_eff!$AC$3:$AC$35,0),MATCH(G$2,res_eff!$R$2:$AA$2,0))</f>
        <v>0.85</v>
      </c>
      <c r="H10" s="66">
        <f>INDEX(res_eff!$R$3:$AA$35,MATCH($A10&amp;$B10&amp;$C10,res_eff!$AC$3:$AC$35,0),MATCH(H$2,res_eff!$R$2:$AA$2,0))</f>
        <v>0.85</v>
      </c>
      <c r="I10" s="66">
        <f>INDEX(res_eff!$R$3:$AA$35,MATCH($A10&amp;$B10&amp;$C10,res_eff!$AC$3:$AC$35,0),MATCH(I$2,res_eff!$R$2:$AA$2,0))</f>
        <v>0.85</v>
      </c>
      <c r="J10" s="66">
        <f>INDEX(res_eff!$R$3:$AA$35,MATCH($A10&amp;$B10&amp;$C10,res_eff!$AC$3:$AC$35,0),MATCH(J$2,res_eff!$R$2:$AA$2,0))</f>
        <v>0.85</v>
      </c>
      <c r="K10" s="66">
        <f>INDEX(res_eff!$R$3:$AA$35,MATCH($A10&amp;$B10&amp;$C10,res_eff!$AC$3:$AC$35,0),MATCH(K$2,res_eff!$R$2:$AA$2,0))</f>
        <v>0.85</v>
      </c>
      <c r="L10" s="66">
        <f>INDEX(res_eff!$R$3:$AA$35,MATCH($A10&amp;$B10&amp;$C10,res_eff!$AC$3:$AC$35,0),MATCH(L$2,res_eff!$R$2:$AA$2,0))</f>
        <v>0.85</v>
      </c>
      <c r="M10" s="66">
        <f>INDEX(res_eff!$R$3:$AA$35,MATCH($A10&amp;$B10&amp;$C10,res_eff!$AC$3:$AC$35,0),MATCH(M$2,res_eff!$R$2:$AA$2,0))</f>
        <v>0.85</v>
      </c>
      <c r="N10" s="66">
        <f>INDEX(res_eff!$R$3:$AA$35,MATCH($A10&amp;$B10&amp;$C10,res_eff!$AC$3:$AC$35,0),MATCH(N$2,res_eff!$R$2:$AA$2,0))</f>
        <v>0.85</v>
      </c>
      <c r="O10" s="66">
        <f>INDEX(res_eff!$R$3:$AA$35,MATCH($A10&amp;$B10&amp;$C10,res_eff!$AC$3:$AC$35,0),MATCH(O$2,res_eff!$R$2:$AA$2,0))</f>
        <v>0.85</v>
      </c>
    </row>
    <row r="11" spans="1:15" x14ac:dyDescent="0.2">
      <c r="A11" t="s">
        <v>71</v>
      </c>
      <c r="B11" t="s">
        <v>7</v>
      </c>
      <c r="C11" t="s">
        <v>9</v>
      </c>
      <c r="D11" t="s">
        <v>121</v>
      </c>
      <c r="E11" s="65">
        <f t="shared" si="1"/>
        <v>4.1625932641666399</v>
      </c>
      <c r="F11" s="66">
        <f>INDEX(res_eff!$R$3:$AA$35,MATCH($A11&amp;$B11&amp;$C11,res_eff!$AC$3:$AC$35,0),MATCH(F$2,res_eff!$R$2:$AA$2,0))</f>
        <v>4.1625932641666399</v>
      </c>
      <c r="G11" s="66">
        <f>INDEX(res_eff!$R$3:$AA$35,MATCH($A11&amp;$B11&amp;$C11,res_eff!$AC$3:$AC$35,0),MATCH(G$2,res_eff!$R$2:$AA$2,0))</f>
        <v>4.1625932641666399</v>
      </c>
      <c r="H11" s="66">
        <f>INDEX(res_eff!$R$3:$AA$35,MATCH($A11&amp;$B11&amp;$C11,res_eff!$AC$3:$AC$35,0),MATCH(H$2,res_eff!$R$2:$AA$2,0))</f>
        <v>4.1625932641666399</v>
      </c>
      <c r="I11" s="66">
        <f>INDEX(res_eff!$R$3:$AA$35,MATCH($A11&amp;$B11&amp;$C11,res_eff!$AC$3:$AC$35,0),MATCH(I$2,res_eff!$R$2:$AA$2,0))</f>
        <v>4.3446293977122004</v>
      </c>
      <c r="J11" s="66">
        <f>INDEX(res_eff!$R$3:$AA$35,MATCH($A11&amp;$B11&amp;$C11,res_eff!$AC$3:$AC$35,0),MATCH(J$2,res_eff!$R$2:$AA$2,0))</f>
        <v>4.3446293977122004</v>
      </c>
      <c r="K11" s="66">
        <f>INDEX(res_eff!$R$3:$AA$35,MATCH($A11&amp;$B11&amp;$C11,res_eff!$AC$3:$AC$35,0),MATCH(K$2,res_eff!$R$2:$AA$2,0))</f>
        <v>4.3446293977122004</v>
      </c>
      <c r="L11" s="66">
        <f>INDEX(res_eff!$R$3:$AA$35,MATCH($A11&amp;$B11&amp;$C11,res_eff!$AC$3:$AC$35,0),MATCH(L$2,res_eff!$R$2:$AA$2,0))</f>
        <v>4.3446293977122004</v>
      </c>
      <c r="M11" s="66">
        <f>INDEX(res_eff!$R$3:$AA$35,MATCH($A11&amp;$B11&amp;$C11,res_eff!$AC$3:$AC$35,0),MATCH(M$2,res_eff!$R$2:$AA$2,0))</f>
        <v>4.3446293977122004</v>
      </c>
      <c r="N11" s="66">
        <f>INDEX(res_eff!$R$3:$AA$35,MATCH($A11&amp;$B11&amp;$C11,res_eff!$AC$3:$AC$35,0),MATCH(N$2,res_eff!$R$2:$AA$2,0))</f>
        <v>4.3446293977122004</v>
      </c>
      <c r="O11" s="66">
        <f>INDEX(res_eff!$R$3:$AA$35,MATCH($A11&amp;$B11&amp;$C11,res_eff!$AC$3:$AC$35,0),MATCH(O$2,res_eff!$R$2:$AA$2,0))</f>
        <v>4.3446293977122004</v>
      </c>
    </row>
    <row r="12" spans="1:15" x14ac:dyDescent="0.2">
      <c r="A12" t="s">
        <v>71</v>
      </c>
      <c r="B12" t="s">
        <v>7</v>
      </c>
      <c r="C12" t="s">
        <v>10</v>
      </c>
      <c r="D12" t="s">
        <v>121</v>
      </c>
      <c r="E12" s="65">
        <f t="shared" si="1"/>
        <v>4.6900000000000004</v>
      </c>
      <c r="F12" s="66">
        <f>INDEX(res_eff!$R$3:$AA$35,MATCH($A12&amp;$B12&amp;$C12,res_eff!$AC$3:$AC$35,0),MATCH(F$2,res_eff!$R$2:$AA$2,0))</f>
        <v>4.6900000000000004</v>
      </c>
      <c r="G12" s="66">
        <f>INDEX(res_eff!$R$3:$AA$35,MATCH($A12&amp;$B12&amp;$C12,res_eff!$AC$3:$AC$35,0),MATCH(G$2,res_eff!$R$2:$AA$2,0))</f>
        <v>4.6900000000000004</v>
      </c>
      <c r="H12" s="66">
        <f>INDEX(res_eff!$R$3:$AA$35,MATCH($A12&amp;$B12&amp;$C12,res_eff!$AC$3:$AC$35,0),MATCH(H$2,res_eff!$R$2:$AA$2,0))</f>
        <v>4.6900000000000004</v>
      </c>
      <c r="I12" s="66">
        <f>INDEX(res_eff!$R$3:$AA$35,MATCH($A12&amp;$B12&amp;$C12,res_eff!$AC$3:$AC$35,0),MATCH(I$2,res_eff!$R$2:$AA$2,0))</f>
        <v>4.8720361335455502</v>
      </c>
      <c r="J12" s="66">
        <f>INDEX(res_eff!$R$3:$AA$35,MATCH($A12&amp;$B12&amp;$C12,res_eff!$AC$3:$AC$35,0),MATCH(J$2,res_eff!$R$2:$AA$2,0))</f>
        <v>4.8720361335455502</v>
      </c>
      <c r="K12" s="66">
        <f>INDEX(res_eff!$R$3:$AA$35,MATCH($A12&amp;$B12&amp;$C12,res_eff!$AC$3:$AC$35,0),MATCH(K$2,res_eff!$R$2:$AA$2,0))</f>
        <v>4.8720361335455502</v>
      </c>
      <c r="L12" s="66">
        <f>INDEX(res_eff!$R$3:$AA$35,MATCH($A12&amp;$B12&amp;$C12,res_eff!$AC$3:$AC$35,0),MATCH(L$2,res_eff!$R$2:$AA$2,0))</f>
        <v>4.8720361335455502</v>
      </c>
      <c r="M12" s="66">
        <f>INDEX(res_eff!$R$3:$AA$35,MATCH($A12&amp;$B12&amp;$C12,res_eff!$AC$3:$AC$35,0),MATCH(M$2,res_eff!$R$2:$AA$2,0))</f>
        <v>4.8720361335455502</v>
      </c>
      <c r="N12" s="66">
        <f>INDEX(res_eff!$R$3:$AA$35,MATCH($A12&amp;$B12&amp;$C12,res_eff!$AC$3:$AC$35,0),MATCH(N$2,res_eff!$R$2:$AA$2,0))</f>
        <v>4.8720361335455502</v>
      </c>
      <c r="O12" s="66">
        <f>INDEX(res_eff!$R$3:$AA$35,MATCH($A12&amp;$B12&amp;$C12,res_eff!$AC$3:$AC$35,0),MATCH(O$2,res_eff!$R$2:$AA$2,0))</f>
        <v>4.8720361335455502</v>
      </c>
    </row>
    <row r="13" spans="1:15" x14ac:dyDescent="0.2">
      <c r="A13" t="s">
        <v>72</v>
      </c>
      <c r="B13" t="s">
        <v>31</v>
      </c>
      <c r="C13" t="s">
        <v>21</v>
      </c>
      <c r="D13" t="s">
        <v>120</v>
      </c>
      <c r="E13" s="65">
        <f t="shared" si="1"/>
        <v>0.63</v>
      </c>
      <c r="F13" s="66">
        <f>INDEX(res_eff!$R$3:$AA$35,MATCH($A13&amp;$B13&amp;$C13,res_eff!$AC$3:$AC$35,0),MATCH(F$2,res_eff!$R$2:$AA$2,0))</f>
        <v>0.63</v>
      </c>
      <c r="G13" s="66">
        <f>INDEX(res_eff!$R$3:$AA$35,MATCH($A13&amp;$B13&amp;$C13,res_eff!$AC$3:$AC$35,0),MATCH(G$2,res_eff!$R$2:$AA$2,0))</f>
        <v>0.63</v>
      </c>
      <c r="H13" s="66">
        <f>INDEX(res_eff!$R$3:$AA$35,MATCH($A13&amp;$B13&amp;$C13,res_eff!$AC$3:$AC$35,0),MATCH(H$2,res_eff!$R$2:$AA$2,0))</f>
        <v>0.63</v>
      </c>
      <c r="I13" s="66">
        <f>INDEX(res_eff!$R$3:$AA$35,MATCH($A13&amp;$B13&amp;$C13,res_eff!$AC$3:$AC$35,0),MATCH(I$2,res_eff!$R$2:$AA$2,0))</f>
        <v>0.63</v>
      </c>
      <c r="J13" s="66">
        <f>INDEX(res_eff!$R$3:$AA$35,MATCH($A13&amp;$B13&amp;$C13,res_eff!$AC$3:$AC$35,0),MATCH(J$2,res_eff!$R$2:$AA$2,0))</f>
        <v>0.63</v>
      </c>
      <c r="K13" s="66">
        <f>INDEX(res_eff!$R$3:$AA$35,MATCH($A13&amp;$B13&amp;$C13,res_eff!$AC$3:$AC$35,0),MATCH(K$2,res_eff!$R$2:$AA$2,0))</f>
        <v>0.63</v>
      </c>
      <c r="L13" s="66">
        <f>INDEX(res_eff!$R$3:$AA$35,MATCH($A13&amp;$B13&amp;$C13,res_eff!$AC$3:$AC$35,0),MATCH(L$2,res_eff!$R$2:$AA$2,0))</f>
        <v>0.63</v>
      </c>
      <c r="M13" s="66">
        <f>INDEX(res_eff!$R$3:$AA$35,MATCH($A13&amp;$B13&amp;$C13,res_eff!$AC$3:$AC$35,0),MATCH(M$2,res_eff!$R$2:$AA$2,0))</f>
        <v>0.63</v>
      </c>
      <c r="N13" s="66">
        <f>INDEX(res_eff!$R$3:$AA$35,MATCH($A13&amp;$B13&amp;$C13,res_eff!$AC$3:$AC$35,0),MATCH(N$2,res_eff!$R$2:$AA$2,0))</f>
        <v>0.63</v>
      </c>
      <c r="O13" s="66">
        <f>INDEX(res_eff!$R$3:$AA$35,MATCH($A13&amp;$B13&amp;$C13,res_eff!$AC$3:$AC$35,0),MATCH(O$2,res_eff!$R$2:$AA$2,0))</f>
        <v>0.63</v>
      </c>
    </row>
    <row r="14" spans="1:15" x14ac:dyDescent="0.2">
      <c r="A14" t="s">
        <v>72</v>
      </c>
      <c r="B14" t="s">
        <v>31</v>
      </c>
      <c r="C14" t="s">
        <v>22</v>
      </c>
      <c r="D14" t="s">
        <v>120</v>
      </c>
      <c r="E14" s="65">
        <f t="shared" si="1"/>
        <v>0.68</v>
      </c>
      <c r="F14" s="66">
        <f>INDEX(res_eff!$R$3:$AA$35,MATCH($A14&amp;$B14&amp;$C14,res_eff!$AC$3:$AC$35,0),MATCH(F$2,res_eff!$R$2:$AA$2,0))</f>
        <v>0.68</v>
      </c>
      <c r="G14" s="66">
        <f>INDEX(res_eff!$R$3:$AA$35,MATCH($A14&amp;$B14&amp;$C14,res_eff!$AC$3:$AC$35,0),MATCH(G$2,res_eff!$R$2:$AA$2,0))</f>
        <v>0.68</v>
      </c>
      <c r="H14" s="66">
        <f>INDEX(res_eff!$R$3:$AA$35,MATCH($A14&amp;$B14&amp;$C14,res_eff!$AC$3:$AC$35,0),MATCH(H$2,res_eff!$R$2:$AA$2,0))</f>
        <v>0.68</v>
      </c>
      <c r="I14" s="66">
        <f>INDEX(res_eff!$R$3:$AA$35,MATCH($A14&amp;$B14&amp;$C14,res_eff!$AC$3:$AC$35,0),MATCH(I$2,res_eff!$R$2:$AA$2,0))</f>
        <v>0.68</v>
      </c>
      <c r="J14" s="66">
        <f>INDEX(res_eff!$R$3:$AA$35,MATCH($A14&amp;$B14&amp;$C14,res_eff!$AC$3:$AC$35,0),MATCH(J$2,res_eff!$R$2:$AA$2,0))</f>
        <v>0.68</v>
      </c>
      <c r="K14" s="66">
        <f>INDEX(res_eff!$R$3:$AA$35,MATCH($A14&amp;$B14&amp;$C14,res_eff!$AC$3:$AC$35,0),MATCH(K$2,res_eff!$R$2:$AA$2,0))</f>
        <v>0.68</v>
      </c>
      <c r="L14" s="66">
        <f>INDEX(res_eff!$R$3:$AA$35,MATCH($A14&amp;$B14&amp;$C14,res_eff!$AC$3:$AC$35,0),MATCH(L$2,res_eff!$R$2:$AA$2,0))</f>
        <v>0.68</v>
      </c>
      <c r="M14" s="66">
        <f>INDEX(res_eff!$R$3:$AA$35,MATCH($A14&amp;$B14&amp;$C14,res_eff!$AC$3:$AC$35,0),MATCH(M$2,res_eff!$R$2:$AA$2,0))</f>
        <v>0.68</v>
      </c>
      <c r="N14" s="66">
        <f>INDEX(res_eff!$R$3:$AA$35,MATCH($A14&amp;$B14&amp;$C14,res_eff!$AC$3:$AC$35,0),MATCH(N$2,res_eff!$R$2:$AA$2,0))</f>
        <v>0.68</v>
      </c>
      <c r="O14" s="66">
        <f>INDEX(res_eff!$R$3:$AA$35,MATCH($A14&amp;$B14&amp;$C14,res_eff!$AC$3:$AC$35,0),MATCH(O$2,res_eff!$R$2:$AA$2,0))</f>
        <v>0.68</v>
      </c>
    </row>
    <row r="15" spans="1:15" x14ac:dyDescent="0.2">
      <c r="A15" t="s">
        <v>72</v>
      </c>
      <c r="B15" t="s">
        <v>7</v>
      </c>
      <c r="C15" t="s">
        <v>24</v>
      </c>
      <c r="D15" t="s">
        <v>121</v>
      </c>
      <c r="E15" s="65">
        <f t="shared" si="1"/>
        <v>0.93</v>
      </c>
      <c r="F15" s="66">
        <f>INDEX(res_eff!$R$3:$AA$35,MATCH($A15&amp;$B15&amp;$C15,res_eff!$AC$3:$AC$35,0),MATCH(F$2,res_eff!$R$2:$AA$2,0))</f>
        <v>0.93</v>
      </c>
      <c r="G15" s="66">
        <f>INDEX(res_eff!$R$3:$AA$35,MATCH($A15&amp;$B15&amp;$C15,res_eff!$AC$3:$AC$35,0),MATCH(G$2,res_eff!$R$2:$AA$2,0))</f>
        <v>0.93</v>
      </c>
      <c r="H15" s="66">
        <f>INDEX(res_eff!$R$3:$AA$35,MATCH($A15&amp;$B15&amp;$C15,res_eff!$AC$3:$AC$35,0),MATCH(H$2,res_eff!$R$2:$AA$2,0))</f>
        <v>0.93</v>
      </c>
      <c r="I15" s="66">
        <f>INDEX(res_eff!$R$3:$AA$35,MATCH($A15&amp;$B15&amp;$C15,res_eff!$AC$3:$AC$35,0),MATCH(I$2,res_eff!$R$2:$AA$2,0))</f>
        <v>0.93</v>
      </c>
      <c r="J15" s="66">
        <f>INDEX(res_eff!$R$3:$AA$35,MATCH($A15&amp;$B15&amp;$C15,res_eff!$AC$3:$AC$35,0),MATCH(J$2,res_eff!$R$2:$AA$2,0))</f>
        <v>0.93</v>
      </c>
      <c r="K15" s="66">
        <f>INDEX(res_eff!$R$3:$AA$35,MATCH($A15&amp;$B15&amp;$C15,res_eff!$AC$3:$AC$35,0),MATCH(K$2,res_eff!$R$2:$AA$2,0))</f>
        <v>0.93</v>
      </c>
      <c r="L15" s="66">
        <f>INDEX(res_eff!$R$3:$AA$35,MATCH($A15&amp;$B15&amp;$C15,res_eff!$AC$3:$AC$35,0),MATCH(L$2,res_eff!$R$2:$AA$2,0))</f>
        <v>0.93</v>
      </c>
      <c r="M15" s="66">
        <f>INDEX(res_eff!$R$3:$AA$35,MATCH($A15&amp;$B15&amp;$C15,res_eff!$AC$3:$AC$35,0),MATCH(M$2,res_eff!$R$2:$AA$2,0))</f>
        <v>0.93</v>
      </c>
      <c r="N15" s="66">
        <f>INDEX(res_eff!$R$3:$AA$35,MATCH($A15&amp;$B15&amp;$C15,res_eff!$AC$3:$AC$35,0),MATCH(N$2,res_eff!$R$2:$AA$2,0))</f>
        <v>0.93</v>
      </c>
      <c r="O15" s="66">
        <f>INDEX(res_eff!$R$3:$AA$35,MATCH($A15&amp;$B15&amp;$C15,res_eff!$AC$3:$AC$35,0),MATCH(O$2,res_eff!$R$2:$AA$2,0))</f>
        <v>0.93</v>
      </c>
    </row>
    <row r="16" spans="1:15" x14ac:dyDescent="0.2">
      <c r="A16" t="s">
        <v>72</v>
      </c>
      <c r="B16" t="s">
        <v>7</v>
      </c>
      <c r="C16" t="s">
        <v>25</v>
      </c>
      <c r="D16" t="s">
        <v>121</v>
      </c>
      <c r="E16" s="65">
        <f t="shared" si="1"/>
        <v>3.3</v>
      </c>
      <c r="F16" s="66">
        <f>INDEX(res_eff!$R$3:$AA$35,MATCH($A16&amp;$B16&amp;$C16,res_eff!$AC$3:$AC$35,0),MATCH(F$2,res_eff!$R$2:$AA$2,0))</f>
        <v>3.3</v>
      </c>
      <c r="G16" s="66">
        <f>INDEX(res_eff!$R$3:$AA$35,MATCH($A16&amp;$B16&amp;$C16,res_eff!$AC$3:$AC$35,0),MATCH(G$2,res_eff!$R$2:$AA$2,0))</f>
        <v>3.3</v>
      </c>
      <c r="H16" s="66">
        <f>INDEX(res_eff!$R$3:$AA$35,MATCH($A16&amp;$B16&amp;$C16,res_eff!$AC$3:$AC$35,0),MATCH(H$2,res_eff!$R$2:$AA$2,0))</f>
        <v>3.3</v>
      </c>
      <c r="I16" s="66">
        <f>INDEX(res_eff!$R$3:$AA$35,MATCH($A16&amp;$B16&amp;$C16,res_eff!$AC$3:$AC$35,0),MATCH(I$2,res_eff!$R$2:$AA$2,0))</f>
        <v>3.3</v>
      </c>
      <c r="J16" s="66">
        <f>INDEX(res_eff!$R$3:$AA$35,MATCH($A16&amp;$B16&amp;$C16,res_eff!$AC$3:$AC$35,0),MATCH(J$2,res_eff!$R$2:$AA$2,0))</f>
        <v>3.3</v>
      </c>
      <c r="K16" s="66">
        <f>INDEX(res_eff!$R$3:$AA$35,MATCH($A16&amp;$B16&amp;$C16,res_eff!$AC$3:$AC$35,0),MATCH(K$2,res_eff!$R$2:$AA$2,0))</f>
        <v>3.3</v>
      </c>
      <c r="L16" s="66">
        <f>INDEX(res_eff!$R$3:$AA$35,MATCH($A16&amp;$B16&amp;$C16,res_eff!$AC$3:$AC$35,0),MATCH(L$2,res_eff!$R$2:$AA$2,0))</f>
        <v>3.3</v>
      </c>
      <c r="M16" s="66">
        <f>INDEX(res_eff!$R$3:$AA$35,MATCH($A16&amp;$B16&amp;$C16,res_eff!$AC$3:$AC$35,0),MATCH(M$2,res_eff!$R$2:$AA$2,0))</f>
        <v>3.3</v>
      </c>
      <c r="N16" s="66">
        <f>INDEX(res_eff!$R$3:$AA$35,MATCH($A16&amp;$B16&amp;$C16,res_eff!$AC$3:$AC$35,0),MATCH(N$2,res_eff!$R$2:$AA$2,0))</f>
        <v>3.3</v>
      </c>
      <c r="O16" s="66">
        <f>INDEX(res_eff!$R$3:$AA$35,MATCH($A16&amp;$B16&amp;$C16,res_eff!$AC$3:$AC$35,0),MATCH(O$2,res_eff!$R$2:$AA$2,0))</f>
        <v>3.3</v>
      </c>
    </row>
    <row r="17" spans="1:15" x14ac:dyDescent="0.2">
      <c r="A17" t="s">
        <v>72</v>
      </c>
      <c r="B17" t="s">
        <v>7</v>
      </c>
      <c r="C17" t="s">
        <v>23</v>
      </c>
      <c r="D17" t="s">
        <v>121</v>
      </c>
      <c r="E17" s="65">
        <f t="shared" si="1"/>
        <v>3.3</v>
      </c>
      <c r="F17" s="66">
        <f>INDEX(res_eff!$R$3:$AA$35,MATCH($A17&amp;$B17&amp;$C17,res_eff!$AC$3:$AC$35,0),MATCH(F$2,res_eff!$R$2:$AA$2,0))</f>
        <v>3.3</v>
      </c>
      <c r="G17" s="66">
        <f>INDEX(res_eff!$R$3:$AA$35,MATCH($A17&amp;$B17&amp;$C17,res_eff!$AC$3:$AC$35,0),MATCH(G$2,res_eff!$R$2:$AA$2,0))</f>
        <v>3.3</v>
      </c>
      <c r="H17" s="66">
        <f>INDEX(res_eff!$R$3:$AA$35,MATCH($A17&amp;$B17&amp;$C17,res_eff!$AC$3:$AC$35,0),MATCH(H$2,res_eff!$R$2:$AA$2,0))</f>
        <v>3.3</v>
      </c>
      <c r="I17" s="66">
        <f>INDEX(res_eff!$R$3:$AA$35,MATCH($A17&amp;$B17&amp;$C17,res_eff!$AC$3:$AC$35,0),MATCH(I$2,res_eff!$R$2:$AA$2,0))</f>
        <v>3.3</v>
      </c>
      <c r="J17" s="66">
        <f>INDEX(res_eff!$R$3:$AA$35,MATCH($A17&amp;$B17&amp;$C17,res_eff!$AC$3:$AC$35,0),MATCH(J$2,res_eff!$R$2:$AA$2,0))</f>
        <v>3.3</v>
      </c>
      <c r="K17" s="66">
        <f>INDEX(res_eff!$R$3:$AA$35,MATCH($A17&amp;$B17&amp;$C17,res_eff!$AC$3:$AC$35,0),MATCH(K$2,res_eff!$R$2:$AA$2,0))</f>
        <v>3.3</v>
      </c>
      <c r="L17" s="66">
        <f>INDEX(res_eff!$R$3:$AA$35,MATCH($A17&amp;$B17&amp;$C17,res_eff!$AC$3:$AC$35,0),MATCH(L$2,res_eff!$R$2:$AA$2,0))</f>
        <v>3.3</v>
      </c>
      <c r="M17" s="66">
        <f>INDEX(res_eff!$R$3:$AA$35,MATCH($A17&amp;$B17&amp;$C17,res_eff!$AC$3:$AC$35,0),MATCH(M$2,res_eff!$R$2:$AA$2,0))</f>
        <v>3.3</v>
      </c>
      <c r="N17" s="66">
        <f>INDEX(res_eff!$R$3:$AA$35,MATCH($A17&amp;$B17&amp;$C17,res_eff!$AC$3:$AC$35,0),MATCH(N$2,res_eff!$R$2:$AA$2,0))</f>
        <v>3.3</v>
      </c>
      <c r="O17" s="66">
        <f>INDEX(res_eff!$R$3:$AA$35,MATCH($A17&amp;$B17&amp;$C17,res_eff!$AC$3:$AC$35,0),MATCH(O$2,res_eff!$R$2:$AA$2,0))</f>
        <v>3.3</v>
      </c>
    </row>
    <row r="18" spans="1:15" x14ac:dyDescent="0.2">
      <c r="A18" t="s">
        <v>72</v>
      </c>
      <c r="B18" t="s">
        <v>8</v>
      </c>
      <c r="C18" t="s">
        <v>26</v>
      </c>
      <c r="D18" t="s">
        <v>122</v>
      </c>
      <c r="E18" s="65">
        <f t="shared" si="1"/>
        <v>0.63</v>
      </c>
      <c r="F18" s="66">
        <f>INDEX(res_eff!$R$3:$AA$35,MATCH($A18&amp;$B18&amp;$C18,res_eff!$AC$3:$AC$35,0),MATCH(F$2,res_eff!$R$2:$AA$2,0))</f>
        <v>0.63</v>
      </c>
      <c r="G18" s="66">
        <f>INDEX(res_eff!$R$3:$AA$35,MATCH($A18&amp;$B18&amp;$C18,res_eff!$AC$3:$AC$35,0),MATCH(G$2,res_eff!$R$2:$AA$2,0))</f>
        <v>0.63</v>
      </c>
      <c r="H18" s="66">
        <f>INDEX(res_eff!$R$3:$AA$35,MATCH($A18&amp;$B18&amp;$C18,res_eff!$AC$3:$AC$35,0),MATCH(H$2,res_eff!$R$2:$AA$2,0))</f>
        <v>0.63</v>
      </c>
      <c r="I18" s="66">
        <f>INDEX(res_eff!$R$3:$AA$35,MATCH($A18&amp;$B18&amp;$C18,res_eff!$AC$3:$AC$35,0),MATCH(I$2,res_eff!$R$2:$AA$2,0))</f>
        <v>0.63</v>
      </c>
      <c r="J18" s="66">
        <f>INDEX(res_eff!$R$3:$AA$35,MATCH($A18&amp;$B18&amp;$C18,res_eff!$AC$3:$AC$35,0),MATCH(J$2,res_eff!$R$2:$AA$2,0))</f>
        <v>0.63</v>
      </c>
      <c r="K18" s="66">
        <f>INDEX(res_eff!$R$3:$AA$35,MATCH($A18&amp;$B18&amp;$C18,res_eff!$AC$3:$AC$35,0),MATCH(K$2,res_eff!$R$2:$AA$2,0))</f>
        <v>0.63</v>
      </c>
      <c r="L18" s="66">
        <f>INDEX(res_eff!$R$3:$AA$35,MATCH($A18&amp;$B18&amp;$C18,res_eff!$AC$3:$AC$35,0),MATCH(L$2,res_eff!$R$2:$AA$2,0))</f>
        <v>0.63</v>
      </c>
      <c r="M18" s="66">
        <f>INDEX(res_eff!$R$3:$AA$35,MATCH($A18&amp;$B18&amp;$C18,res_eff!$AC$3:$AC$35,0),MATCH(M$2,res_eff!$R$2:$AA$2,0))</f>
        <v>0.63</v>
      </c>
      <c r="N18" s="66">
        <f>INDEX(res_eff!$R$3:$AA$35,MATCH($A18&amp;$B18&amp;$C18,res_eff!$AC$3:$AC$35,0),MATCH(N$2,res_eff!$R$2:$AA$2,0))</f>
        <v>0.63</v>
      </c>
      <c r="O18" s="66">
        <f>INDEX(res_eff!$R$3:$AA$35,MATCH($A18&amp;$B18&amp;$C18,res_eff!$AC$3:$AC$35,0),MATCH(O$2,res_eff!$R$2:$AA$2,0))</f>
        <v>0.63</v>
      </c>
    </row>
    <row r="19" spans="1:15" x14ac:dyDescent="0.2">
      <c r="A19" t="s">
        <v>72</v>
      </c>
      <c r="B19" t="s">
        <v>8</v>
      </c>
      <c r="C19" t="s">
        <v>27</v>
      </c>
      <c r="D19" t="s">
        <v>122</v>
      </c>
      <c r="E19" s="65">
        <f t="shared" si="1"/>
        <v>0.63</v>
      </c>
      <c r="F19" s="66">
        <f>INDEX(res_eff!$R$3:$AA$35,MATCH($A19&amp;$B19&amp;$C19,res_eff!$AC$3:$AC$35,0),MATCH(F$2,res_eff!$R$2:$AA$2,0))</f>
        <v>0.63</v>
      </c>
      <c r="G19" s="66">
        <f>INDEX(res_eff!$R$3:$AA$35,MATCH($A19&amp;$B19&amp;$C19,res_eff!$AC$3:$AC$35,0),MATCH(G$2,res_eff!$R$2:$AA$2,0))</f>
        <v>0.63</v>
      </c>
      <c r="H19" s="66">
        <f>INDEX(res_eff!$R$3:$AA$35,MATCH($A19&amp;$B19&amp;$C19,res_eff!$AC$3:$AC$35,0),MATCH(H$2,res_eff!$R$2:$AA$2,0))</f>
        <v>0.63</v>
      </c>
      <c r="I19" s="66">
        <f>INDEX(res_eff!$R$3:$AA$35,MATCH($A19&amp;$B19&amp;$C19,res_eff!$AC$3:$AC$35,0),MATCH(I$2,res_eff!$R$2:$AA$2,0))</f>
        <v>0.63</v>
      </c>
      <c r="J19" s="66">
        <f>INDEX(res_eff!$R$3:$AA$35,MATCH($A19&amp;$B19&amp;$C19,res_eff!$AC$3:$AC$35,0),MATCH(J$2,res_eff!$R$2:$AA$2,0))</f>
        <v>0.63</v>
      </c>
      <c r="K19" s="66">
        <f>INDEX(res_eff!$R$3:$AA$35,MATCH($A19&amp;$B19&amp;$C19,res_eff!$AC$3:$AC$35,0),MATCH(K$2,res_eff!$R$2:$AA$2,0))</f>
        <v>0.63</v>
      </c>
      <c r="L19" s="66">
        <f>INDEX(res_eff!$R$3:$AA$35,MATCH($A19&amp;$B19&amp;$C19,res_eff!$AC$3:$AC$35,0),MATCH(L$2,res_eff!$R$2:$AA$2,0))</f>
        <v>0.63</v>
      </c>
      <c r="M19" s="66">
        <f>INDEX(res_eff!$R$3:$AA$35,MATCH($A19&amp;$B19&amp;$C19,res_eff!$AC$3:$AC$35,0),MATCH(M$2,res_eff!$R$2:$AA$2,0))</f>
        <v>0.63</v>
      </c>
      <c r="N19" s="66">
        <f>INDEX(res_eff!$R$3:$AA$35,MATCH($A19&amp;$B19&amp;$C19,res_eff!$AC$3:$AC$35,0),MATCH(N$2,res_eff!$R$2:$AA$2,0))</f>
        <v>0.63</v>
      </c>
      <c r="O19" s="66">
        <f>INDEX(res_eff!$R$3:$AA$35,MATCH($A19&amp;$B19&amp;$C19,res_eff!$AC$3:$AC$35,0),MATCH(O$2,res_eff!$R$2:$AA$2,0))</f>
        <v>0.63</v>
      </c>
    </row>
    <row r="20" spans="1:15" x14ac:dyDescent="0.2">
      <c r="A20" t="s">
        <v>73</v>
      </c>
      <c r="B20" t="s">
        <v>7</v>
      </c>
      <c r="C20" t="s">
        <v>29</v>
      </c>
      <c r="D20" t="s">
        <v>121</v>
      </c>
      <c r="E20" s="65">
        <f t="shared" si="1"/>
        <v>4.833333333333333</v>
      </c>
      <c r="F20" s="66">
        <f>INDEX(res_eff!$R$3:$AA$35,MATCH($A20&amp;$B20&amp;$C20,res_eff!$AC$3:$AC$35,0),MATCH(F$2,res_eff!$R$2:$AA$2,0))</f>
        <v>4.833333333333333</v>
      </c>
      <c r="G20" s="66">
        <f>INDEX(res_eff!$R$3:$AA$35,MATCH($A20&amp;$B20&amp;$C20,res_eff!$AC$3:$AC$35,0),MATCH(G$2,res_eff!$R$2:$AA$2,0))</f>
        <v>4.833333333333333</v>
      </c>
      <c r="H20" s="66">
        <f>INDEX(res_eff!$R$3:$AA$35,MATCH($A20&amp;$B20&amp;$C20,res_eff!$AC$3:$AC$35,0),MATCH(H$2,res_eff!$R$2:$AA$2,0))</f>
        <v>4.833333333333333</v>
      </c>
      <c r="I20" s="66">
        <f>INDEX(res_eff!$R$3:$AA$35,MATCH($A20&amp;$B20&amp;$C20,res_eff!$AC$3:$AC$35,0),MATCH(I$2,res_eff!$R$2:$AA$2,0))</f>
        <v>4.833333333333333</v>
      </c>
      <c r="J20" s="66">
        <f>INDEX(res_eff!$R$3:$AA$35,MATCH($A20&amp;$B20&amp;$C20,res_eff!$AC$3:$AC$35,0),MATCH(J$2,res_eff!$R$2:$AA$2,0))</f>
        <v>4.833333333333333</v>
      </c>
      <c r="K20" s="66">
        <f>INDEX(res_eff!$R$3:$AA$35,MATCH($A20&amp;$B20&amp;$C20,res_eff!$AC$3:$AC$35,0),MATCH(K$2,res_eff!$R$2:$AA$2,0))</f>
        <v>4.833333333333333</v>
      </c>
      <c r="L20" s="66">
        <f>INDEX(res_eff!$R$3:$AA$35,MATCH($A20&amp;$B20&amp;$C20,res_eff!$AC$3:$AC$35,0),MATCH(L$2,res_eff!$R$2:$AA$2,0))</f>
        <v>4.833333333333333</v>
      </c>
      <c r="M20" s="66">
        <f>INDEX(res_eff!$R$3:$AA$35,MATCH($A20&amp;$B20&amp;$C20,res_eff!$AC$3:$AC$35,0),MATCH(M$2,res_eff!$R$2:$AA$2,0))</f>
        <v>4.833333333333333</v>
      </c>
      <c r="N20" s="66">
        <f>INDEX(res_eff!$R$3:$AA$35,MATCH($A20&amp;$B20&amp;$C20,res_eff!$AC$3:$AC$35,0),MATCH(N$2,res_eff!$R$2:$AA$2,0))</f>
        <v>4.833333333333333</v>
      </c>
      <c r="O20" s="66">
        <f>INDEX(res_eff!$R$3:$AA$35,MATCH($A20&amp;$B20&amp;$C20,res_eff!$AC$3:$AC$35,0),MATCH(O$2,res_eff!$R$2:$AA$2,0))</f>
        <v>4.833333333333333</v>
      </c>
    </row>
    <row r="21" spans="1:15" x14ac:dyDescent="0.2">
      <c r="A21" t="s">
        <v>73</v>
      </c>
      <c r="B21" t="s">
        <v>7</v>
      </c>
      <c r="C21" t="s">
        <v>28</v>
      </c>
      <c r="D21" t="s">
        <v>121</v>
      </c>
      <c r="E21" s="65">
        <f t="shared" si="1"/>
        <v>19.611111111111111</v>
      </c>
      <c r="F21" s="66">
        <f>INDEX(res_eff!$R$3:$AA$35,MATCH($A21&amp;$B21&amp;$C21,res_eff!$AC$3:$AC$35,0),MATCH(F$2,res_eff!$R$2:$AA$2,0))</f>
        <v>19.611111111111111</v>
      </c>
      <c r="G21" s="66">
        <f>INDEX(res_eff!$R$3:$AA$35,MATCH($A21&amp;$B21&amp;$C21,res_eff!$AC$3:$AC$35,0),MATCH(G$2,res_eff!$R$2:$AA$2,0))</f>
        <v>19.611111111111111</v>
      </c>
      <c r="H21" s="66">
        <f>INDEX(res_eff!$R$3:$AA$35,MATCH($A21&amp;$B21&amp;$C21,res_eff!$AC$3:$AC$35,0),MATCH(H$2,res_eff!$R$2:$AA$2,0))</f>
        <v>19.611111111111111</v>
      </c>
      <c r="I21" s="66">
        <f>INDEX(res_eff!$R$3:$AA$35,MATCH($A21&amp;$B21&amp;$C21,res_eff!$AC$3:$AC$35,0),MATCH(I$2,res_eff!$R$2:$AA$2,0))</f>
        <v>19.611111111111111</v>
      </c>
      <c r="J21" s="66">
        <f>INDEX(res_eff!$R$3:$AA$35,MATCH($A21&amp;$B21&amp;$C21,res_eff!$AC$3:$AC$35,0),MATCH(J$2,res_eff!$R$2:$AA$2,0))</f>
        <v>20.611111111111111</v>
      </c>
      <c r="K21" s="66">
        <f>INDEX(res_eff!$R$3:$AA$35,MATCH($A21&amp;$B21&amp;$C21,res_eff!$AC$3:$AC$35,0),MATCH(K$2,res_eff!$R$2:$AA$2,0))</f>
        <v>20.611111111111111</v>
      </c>
      <c r="L21" s="66">
        <f>INDEX(res_eff!$R$3:$AA$35,MATCH($A21&amp;$B21&amp;$C21,res_eff!$AC$3:$AC$35,0),MATCH(L$2,res_eff!$R$2:$AA$2,0))</f>
        <v>21.666666666666668</v>
      </c>
      <c r="M21" s="66">
        <f>INDEX(res_eff!$R$3:$AA$35,MATCH($A21&amp;$B21&amp;$C21,res_eff!$AC$3:$AC$35,0),MATCH(M$2,res_eff!$R$2:$AA$2,0))</f>
        <v>21.666666666666668</v>
      </c>
      <c r="N21" s="66">
        <f>INDEX(res_eff!$R$3:$AA$35,MATCH($A21&amp;$B21&amp;$C21,res_eff!$AC$3:$AC$35,0),MATCH(N$2,res_eff!$R$2:$AA$2,0))</f>
        <v>21.666666666666668</v>
      </c>
      <c r="O21" s="66">
        <f>INDEX(res_eff!$R$3:$AA$35,MATCH($A21&amp;$B21&amp;$C21,res_eff!$AC$3:$AC$35,0),MATCH(O$2,res_eff!$R$2:$AA$2,0))</f>
        <v>21.666666666666668</v>
      </c>
    </row>
    <row r="22" spans="1:15" x14ac:dyDescent="0.2">
      <c r="A22" t="s">
        <v>73</v>
      </c>
      <c r="B22" t="s">
        <v>7</v>
      </c>
      <c r="C22" t="s">
        <v>30</v>
      </c>
      <c r="D22" t="s">
        <v>121</v>
      </c>
      <c r="E22" s="65">
        <f t="shared" si="1"/>
        <v>24.277777777777779</v>
      </c>
      <c r="F22" s="66">
        <f>INDEX(res_eff!$R$3:$AA$35,MATCH($A22&amp;$B22&amp;$C22,res_eff!$AC$3:$AC$35,0),MATCH(F$2,res_eff!$R$2:$AA$2,0))</f>
        <v>24.277777777777779</v>
      </c>
      <c r="G22" s="66">
        <f>INDEX(res_eff!$R$3:$AA$35,MATCH($A22&amp;$B22&amp;$C22,res_eff!$AC$3:$AC$35,0),MATCH(G$2,res_eff!$R$2:$AA$2,0))</f>
        <v>24.277777777777779</v>
      </c>
      <c r="H22" s="66">
        <f>INDEX(res_eff!$R$3:$AA$35,MATCH($A22&amp;$B22&amp;$C22,res_eff!$AC$3:$AC$35,0),MATCH(H$2,res_eff!$R$2:$AA$2,0))</f>
        <v>24.277777777777779</v>
      </c>
      <c r="I22" s="66">
        <f>INDEX(res_eff!$R$3:$AA$35,MATCH($A22&amp;$B22&amp;$C22,res_eff!$AC$3:$AC$35,0),MATCH(I$2,res_eff!$R$2:$AA$2,0))</f>
        <v>27.805555555555554</v>
      </c>
      <c r="J22" s="66">
        <f>INDEX(res_eff!$R$3:$AA$35,MATCH($A22&amp;$B22&amp;$C22,res_eff!$AC$3:$AC$35,0),MATCH(J$2,res_eff!$R$2:$AA$2,0))</f>
        <v>31.305555555555554</v>
      </c>
      <c r="K22" s="66">
        <f>INDEX(res_eff!$R$3:$AA$35,MATCH($A22&amp;$B22&amp;$C22,res_eff!$AC$3:$AC$35,0),MATCH(K$2,res_eff!$R$2:$AA$2,0))</f>
        <v>31.305555555555554</v>
      </c>
      <c r="L22" s="66">
        <f>INDEX(res_eff!$R$3:$AA$35,MATCH($A22&amp;$B22&amp;$C22,res_eff!$AC$3:$AC$35,0),MATCH(L$2,res_eff!$R$2:$AA$2,0))</f>
        <v>38.361111111111114</v>
      </c>
      <c r="M22" s="66">
        <f>INDEX(res_eff!$R$3:$AA$35,MATCH($A22&amp;$B22&amp;$C22,res_eff!$AC$3:$AC$35,0),MATCH(M$2,res_eff!$R$2:$AA$2,0))</f>
        <v>38.361111111111114</v>
      </c>
      <c r="N22" s="66">
        <f>INDEX(res_eff!$R$3:$AA$35,MATCH($A22&amp;$B22&amp;$C22,res_eff!$AC$3:$AC$35,0),MATCH(N$2,res_eff!$R$2:$AA$2,0))</f>
        <v>38.361111111111114</v>
      </c>
      <c r="O22" s="66">
        <f>INDEX(res_eff!$R$3:$AA$35,MATCH($A22&amp;$B22&amp;$C22,res_eff!$AC$3:$AC$35,0),MATCH(O$2,res_eff!$R$2:$AA$2,0))</f>
        <v>38.361111111111114</v>
      </c>
    </row>
    <row r="23" spans="1:15" x14ac:dyDescent="0.2">
      <c r="A23" t="s">
        <v>79</v>
      </c>
      <c r="B23" t="s">
        <v>7</v>
      </c>
      <c r="C23" t="s">
        <v>32</v>
      </c>
      <c r="D23" t="s">
        <v>121</v>
      </c>
      <c r="E23" s="65">
        <f t="shared" si="1"/>
        <v>2</v>
      </c>
      <c r="F23" s="66">
        <f>INDEX(res_eff!$R$3:$AA$35,MATCH($A23&amp;$B23&amp;$C23,res_eff!$AC$3:$AC$35,0),MATCH(F$2,res_eff!$R$2:$AA$2,0))</f>
        <v>2</v>
      </c>
      <c r="G23" s="66">
        <f>INDEX(res_eff!$R$3:$AA$35,MATCH($A23&amp;$B23&amp;$C23,res_eff!$AC$3:$AC$35,0),MATCH(G$2,res_eff!$R$2:$AA$2,0))</f>
        <v>2</v>
      </c>
      <c r="H23" s="66">
        <f>INDEX(res_eff!$R$3:$AA$35,MATCH($A23&amp;$B23&amp;$C23,res_eff!$AC$3:$AC$35,0),MATCH(H$2,res_eff!$R$2:$AA$2,0))</f>
        <v>2</v>
      </c>
      <c r="I23" s="66">
        <f>INDEX(res_eff!$R$3:$AA$35,MATCH($A23&amp;$B23&amp;$C23,res_eff!$AC$3:$AC$35,0),MATCH(I$2,res_eff!$R$2:$AA$2,0))</f>
        <v>2</v>
      </c>
      <c r="J23" s="66">
        <f>INDEX(res_eff!$R$3:$AA$35,MATCH($A23&amp;$B23&amp;$C23,res_eff!$AC$3:$AC$35,0),MATCH(J$2,res_eff!$R$2:$AA$2,0))</f>
        <v>2</v>
      </c>
      <c r="K23" s="66">
        <f>INDEX(res_eff!$R$3:$AA$35,MATCH($A23&amp;$B23&amp;$C23,res_eff!$AC$3:$AC$35,0),MATCH(K$2,res_eff!$R$2:$AA$2,0))</f>
        <v>2</v>
      </c>
      <c r="L23" s="66">
        <f>INDEX(res_eff!$R$3:$AA$35,MATCH($A23&amp;$B23&amp;$C23,res_eff!$AC$3:$AC$35,0),MATCH(L$2,res_eff!$R$2:$AA$2,0))</f>
        <v>2</v>
      </c>
      <c r="M23" s="66">
        <f>INDEX(res_eff!$R$3:$AA$35,MATCH($A23&amp;$B23&amp;$C23,res_eff!$AC$3:$AC$35,0),MATCH(M$2,res_eff!$R$2:$AA$2,0))</f>
        <v>2</v>
      </c>
      <c r="N23" s="66">
        <f>INDEX(res_eff!$R$3:$AA$35,MATCH($A23&amp;$B23&amp;$C23,res_eff!$AC$3:$AC$35,0),MATCH(N$2,res_eff!$R$2:$AA$2,0))</f>
        <v>2</v>
      </c>
      <c r="O23" s="66">
        <f>INDEX(res_eff!$R$3:$AA$35,MATCH($A23&amp;$B23&amp;$C23,res_eff!$AC$3:$AC$35,0),MATCH(O$2,res_eff!$R$2:$AA$2,0))</f>
        <v>2</v>
      </c>
    </row>
    <row r="24" spans="1:15" x14ac:dyDescent="0.2">
      <c r="A24" t="s">
        <v>79</v>
      </c>
      <c r="B24" t="s">
        <v>7</v>
      </c>
      <c r="C24" t="s">
        <v>33</v>
      </c>
      <c r="D24" t="s">
        <v>121</v>
      </c>
      <c r="E24" s="65">
        <f t="shared" si="1"/>
        <v>2.0995228357191533</v>
      </c>
      <c r="F24" s="66">
        <f>INDEX(res_eff!$R$3:$AA$35,MATCH($A24&amp;$B24&amp;$C24,res_eff!$AC$3:$AC$35,0),MATCH(F$2,res_eff!$R$2:$AA$2,0))</f>
        <v>2.0995228357191533</v>
      </c>
      <c r="G24" s="66">
        <f>INDEX(res_eff!$R$3:$AA$35,MATCH($A24&amp;$B24&amp;$C24,res_eff!$AC$3:$AC$35,0),MATCH(G$2,res_eff!$R$2:$AA$2,0))</f>
        <v>2.0995228357191533</v>
      </c>
      <c r="H24" s="66">
        <f>INDEX(res_eff!$R$3:$AA$35,MATCH($A24&amp;$B24&amp;$C24,res_eff!$AC$3:$AC$35,0),MATCH(H$2,res_eff!$R$2:$AA$2,0))</f>
        <v>2.0995228357191533</v>
      </c>
      <c r="I24" s="66">
        <f>INDEX(res_eff!$R$3:$AA$35,MATCH($A24&amp;$B24&amp;$C24,res_eff!$AC$3:$AC$35,0),MATCH(I$2,res_eff!$R$2:$AA$2,0))</f>
        <v>2.0995228357191533</v>
      </c>
      <c r="J24" s="66">
        <f>INDEX(res_eff!$R$3:$AA$35,MATCH($A24&amp;$B24&amp;$C24,res_eff!$AC$3:$AC$35,0),MATCH(J$2,res_eff!$R$2:$AA$2,0))</f>
        <v>2.0995228357191533</v>
      </c>
      <c r="K24" s="66">
        <f>INDEX(res_eff!$R$3:$AA$35,MATCH($A24&amp;$B24&amp;$C24,res_eff!$AC$3:$AC$35,0),MATCH(K$2,res_eff!$R$2:$AA$2,0))</f>
        <v>2.0995228357191533</v>
      </c>
      <c r="L24" s="66">
        <f>INDEX(res_eff!$R$3:$AA$35,MATCH($A24&amp;$B24&amp;$C24,res_eff!$AC$3:$AC$35,0),MATCH(L$2,res_eff!$R$2:$AA$2,0))</f>
        <v>2.0995228357191533</v>
      </c>
      <c r="M24" s="66">
        <f>INDEX(res_eff!$R$3:$AA$35,MATCH($A24&amp;$B24&amp;$C24,res_eff!$AC$3:$AC$35,0),MATCH(M$2,res_eff!$R$2:$AA$2,0))</f>
        <v>2.0995228357191533</v>
      </c>
      <c r="N24" s="66">
        <f>INDEX(res_eff!$R$3:$AA$35,MATCH($A24&amp;$B24&amp;$C24,res_eff!$AC$3:$AC$35,0),MATCH(N$2,res_eff!$R$2:$AA$2,0))</f>
        <v>2.0995228357191533</v>
      </c>
      <c r="O24" s="66">
        <f>INDEX(res_eff!$R$3:$AA$35,MATCH($A24&amp;$B24&amp;$C24,res_eff!$AC$3:$AC$35,0),MATCH(O$2,res_eff!$R$2:$AA$2,0))</f>
        <v>2.0995228357191533</v>
      </c>
    </row>
    <row r="25" spans="1:15" x14ac:dyDescent="0.2">
      <c r="A25" t="s">
        <v>76</v>
      </c>
      <c r="B25" t="s">
        <v>7</v>
      </c>
      <c r="C25" t="s">
        <v>13</v>
      </c>
      <c r="D25" t="s">
        <v>121</v>
      </c>
      <c r="E25" s="65">
        <f t="shared" si="1"/>
        <v>1</v>
      </c>
      <c r="F25" s="66">
        <f>INDEX(res_eff!$R$3:$AA$35,MATCH($A25&amp;$B25&amp;$C25,res_eff!$AC$3:$AC$35,0),MATCH(F$2,res_eff!$R$2:$AA$2,0))</f>
        <v>1</v>
      </c>
      <c r="G25" s="66">
        <f>INDEX(res_eff!$R$3:$AA$35,MATCH($A25&amp;$B25&amp;$C25,res_eff!$AC$3:$AC$35,0),MATCH(G$2,res_eff!$R$2:$AA$2,0))</f>
        <v>1</v>
      </c>
      <c r="H25" s="66">
        <f>INDEX(res_eff!$R$3:$AA$35,MATCH($A25&amp;$B25&amp;$C25,res_eff!$AC$3:$AC$35,0),MATCH(H$2,res_eff!$R$2:$AA$2,0))</f>
        <v>1</v>
      </c>
      <c r="I25" s="66">
        <f>INDEX(res_eff!$R$3:$AA$35,MATCH($A25&amp;$B25&amp;$C25,res_eff!$AC$3:$AC$35,0),MATCH(I$2,res_eff!$R$2:$AA$2,0))</f>
        <v>1</v>
      </c>
      <c r="J25" s="66">
        <f>INDEX(res_eff!$R$3:$AA$35,MATCH($A25&amp;$B25&amp;$C25,res_eff!$AC$3:$AC$35,0),MATCH(J$2,res_eff!$R$2:$AA$2,0))</f>
        <v>1</v>
      </c>
      <c r="K25" s="66">
        <f>INDEX(res_eff!$R$3:$AA$35,MATCH($A25&amp;$B25&amp;$C25,res_eff!$AC$3:$AC$35,0),MATCH(K$2,res_eff!$R$2:$AA$2,0))</f>
        <v>1</v>
      </c>
      <c r="L25" s="66">
        <f>INDEX(res_eff!$R$3:$AA$35,MATCH($A25&amp;$B25&amp;$C25,res_eff!$AC$3:$AC$35,0),MATCH(L$2,res_eff!$R$2:$AA$2,0))</f>
        <v>1</v>
      </c>
      <c r="M25" s="66">
        <f>INDEX(res_eff!$R$3:$AA$35,MATCH($A25&amp;$B25&amp;$C25,res_eff!$AC$3:$AC$35,0),MATCH(M$2,res_eff!$R$2:$AA$2,0))</f>
        <v>1</v>
      </c>
      <c r="N25" s="66">
        <f>INDEX(res_eff!$R$3:$AA$35,MATCH($A25&amp;$B25&amp;$C25,res_eff!$AC$3:$AC$35,0),MATCH(N$2,res_eff!$R$2:$AA$2,0))</f>
        <v>1</v>
      </c>
      <c r="O25" s="66">
        <f>INDEX(res_eff!$R$3:$AA$35,MATCH($A25&amp;$B25&amp;$C25,res_eff!$AC$3:$AC$35,0),MATCH(O$2,res_eff!$R$2:$AA$2,0))</f>
        <v>1</v>
      </c>
    </row>
    <row r="26" spans="1:15" x14ac:dyDescent="0.2">
      <c r="A26" t="s">
        <v>76</v>
      </c>
      <c r="B26" t="s">
        <v>7</v>
      </c>
      <c r="C26" t="s">
        <v>14</v>
      </c>
      <c r="D26" t="s">
        <v>121</v>
      </c>
      <c r="E26" s="65">
        <f t="shared" si="1"/>
        <v>1</v>
      </c>
      <c r="F26" s="66">
        <f>INDEX(res_eff!$R$3:$AA$35,MATCH($A26&amp;$B26&amp;$C26,res_eff!$AC$3:$AC$35,0),MATCH(F$2,res_eff!$R$2:$AA$2,0))</f>
        <v>1</v>
      </c>
      <c r="G26" s="66">
        <f>INDEX(res_eff!$R$3:$AA$35,MATCH($A26&amp;$B26&amp;$C26,res_eff!$AC$3:$AC$35,0),MATCH(G$2,res_eff!$R$2:$AA$2,0))</f>
        <v>1</v>
      </c>
      <c r="H26" s="66">
        <f>INDEX(res_eff!$R$3:$AA$35,MATCH($A26&amp;$B26&amp;$C26,res_eff!$AC$3:$AC$35,0),MATCH(H$2,res_eff!$R$2:$AA$2,0))</f>
        <v>1</v>
      </c>
      <c r="I26" s="66">
        <f>INDEX(res_eff!$R$3:$AA$35,MATCH($A26&amp;$B26&amp;$C26,res_eff!$AC$3:$AC$35,0),MATCH(I$2,res_eff!$R$2:$AA$2,0))</f>
        <v>1</v>
      </c>
      <c r="J26" s="66">
        <f>INDEX(res_eff!$R$3:$AA$35,MATCH($A26&amp;$B26&amp;$C26,res_eff!$AC$3:$AC$35,0),MATCH(J$2,res_eff!$R$2:$AA$2,0))</f>
        <v>1</v>
      </c>
      <c r="K26" s="66">
        <f>INDEX(res_eff!$R$3:$AA$35,MATCH($A26&amp;$B26&amp;$C26,res_eff!$AC$3:$AC$35,0),MATCH(K$2,res_eff!$R$2:$AA$2,0))</f>
        <v>1</v>
      </c>
      <c r="L26" s="66">
        <f>INDEX(res_eff!$R$3:$AA$35,MATCH($A26&amp;$B26&amp;$C26,res_eff!$AC$3:$AC$35,0),MATCH(L$2,res_eff!$R$2:$AA$2,0))</f>
        <v>1</v>
      </c>
      <c r="M26" s="66">
        <f>INDEX(res_eff!$R$3:$AA$35,MATCH($A26&amp;$B26&amp;$C26,res_eff!$AC$3:$AC$35,0),MATCH(M$2,res_eff!$R$2:$AA$2,0))</f>
        <v>1</v>
      </c>
      <c r="N26" s="66">
        <f>INDEX(res_eff!$R$3:$AA$35,MATCH($A26&amp;$B26&amp;$C26,res_eff!$AC$3:$AC$35,0),MATCH(N$2,res_eff!$R$2:$AA$2,0))</f>
        <v>1</v>
      </c>
      <c r="O26" s="66">
        <f>INDEX(res_eff!$R$3:$AA$35,MATCH($A26&amp;$B26&amp;$C26,res_eff!$AC$3:$AC$35,0),MATCH(O$2,res_eff!$R$2:$AA$2,0))</f>
        <v>1</v>
      </c>
    </row>
    <row r="27" spans="1:15" x14ac:dyDescent="0.2">
      <c r="A27" t="s">
        <v>75</v>
      </c>
      <c r="B27" t="s">
        <v>7</v>
      </c>
      <c r="C27" t="s">
        <v>11</v>
      </c>
      <c r="D27" t="s">
        <v>121</v>
      </c>
      <c r="E27" s="65">
        <f t="shared" si="1"/>
        <v>221.19341555555556</v>
      </c>
      <c r="F27" s="66">
        <f>INDEX(res_eff!$R$3:$AA$35,MATCH($A27&amp;$B27&amp;$C27,res_eff!$AC$3:$AC$35,0),MATCH(F$2,res_eff!$R$2:$AA$2,0))</f>
        <v>221.19341555555556</v>
      </c>
      <c r="G27" s="66">
        <f>INDEX(res_eff!$R$3:$AA$35,MATCH($A27&amp;$B27&amp;$C27,res_eff!$AC$3:$AC$35,0),MATCH(G$2,res_eff!$R$2:$AA$2,0))</f>
        <v>221.19341555555556</v>
      </c>
      <c r="H27" s="66">
        <f>INDEX(res_eff!$R$3:$AA$35,MATCH($A27&amp;$B27&amp;$C27,res_eff!$AC$3:$AC$35,0),MATCH(H$2,res_eff!$R$2:$AA$2,0))</f>
        <v>221.19341555555556</v>
      </c>
      <c r="I27" s="66">
        <f>INDEX(res_eff!$R$3:$AA$35,MATCH($A27&amp;$B27&amp;$C27,res_eff!$AC$3:$AC$35,0),MATCH(I$2,res_eff!$R$2:$AA$2,0))</f>
        <v>221.19341555555556</v>
      </c>
      <c r="J27" s="66">
        <f>INDEX(res_eff!$R$3:$AA$35,MATCH($A27&amp;$B27&amp;$C27,res_eff!$AC$3:$AC$35,0),MATCH(J$2,res_eff!$R$2:$AA$2,0))</f>
        <v>221.19341555555556</v>
      </c>
      <c r="K27" s="66">
        <f>INDEX(res_eff!$R$3:$AA$35,MATCH($A27&amp;$B27&amp;$C27,res_eff!$AC$3:$AC$35,0),MATCH(K$2,res_eff!$R$2:$AA$2,0))</f>
        <v>221.19341555555556</v>
      </c>
      <c r="L27" s="66">
        <f>INDEX(res_eff!$R$3:$AA$35,MATCH($A27&amp;$B27&amp;$C27,res_eff!$AC$3:$AC$35,0),MATCH(L$2,res_eff!$R$2:$AA$2,0))</f>
        <v>221.19341555555556</v>
      </c>
      <c r="M27" s="66">
        <f>INDEX(res_eff!$R$3:$AA$35,MATCH($A27&amp;$B27&amp;$C27,res_eff!$AC$3:$AC$35,0),MATCH(M$2,res_eff!$R$2:$AA$2,0))</f>
        <v>221.19341555555556</v>
      </c>
      <c r="N27" s="66">
        <f>INDEX(res_eff!$R$3:$AA$35,MATCH($A27&amp;$B27&amp;$C27,res_eff!$AC$3:$AC$35,0),MATCH(N$2,res_eff!$R$2:$AA$2,0))</f>
        <v>221.19341555555556</v>
      </c>
      <c r="O27" s="66">
        <f>INDEX(res_eff!$R$3:$AA$35,MATCH($A27&amp;$B27&amp;$C27,res_eff!$AC$3:$AC$35,0),MATCH(O$2,res_eff!$R$2:$AA$2,0))</f>
        <v>221.19341555555556</v>
      </c>
    </row>
    <row r="28" spans="1:15" x14ac:dyDescent="0.2">
      <c r="A28" t="s">
        <v>75</v>
      </c>
      <c r="B28" t="s">
        <v>7</v>
      </c>
      <c r="C28" t="s">
        <v>12</v>
      </c>
      <c r="D28" t="s">
        <v>121</v>
      </c>
      <c r="E28" s="65">
        <f t="shared" si="1"/>
        <v>221.19341555555556</v>
      </c>
      <c r="F28" s="66">
        <f>INDEX(res_eff!$R$3:$AA$35,MATCH($A28&amp;$B28&amp;$C28,res_eff!$AC$3:$AC$35,0),MATCH(F$2,res_eff!$R$2:$AA$2,0))</f>
        <v>221.19341555555556</v>
      </c>
      <c r="G28" s="66">
        <f>INDEX(res_eff!$R$3:$AA$35,MATCH($A28&amp;$B28&amp;$C28,res_eff!$AC$3:$AC$35,0),MATCH(G$2,res_eff!$R$2:$AA$2,0))</f>
        <v>221.19341555555556</v>
      </c>
      <c r="H28" s="66">
        <f>INDEX(res_eff!$R$3:$AA$35,MATCH($A28&amp;$B28&amp;$C28,res_eff!$AC$3:$AC$35,0),MATCH(H$2,res_eff!$R$2:$AA$2,0))</f>
        <v>221.19341555555556</v>
      </c>
      <c r="I28" s="66">
        <f>INDEX(res_eff!$R$3:$AA$35,MATCH($A28&amp;$B28&amp;$C28,res_eff!$AC$3:$AC$35,0),MATCH(I$2,res_eff!$R$2:$AA$2,0))</f>
        <v>221.19341555555556</v>
      </c>
      <c r="J28" s="66">
        <f>INDEX(res_eff!$R$3:$AA$35,MATCH($A28&amp;$B28&amp;$C28,res_eff!$AC$3:$AC$35,0),MATCH(J$2,res_eff!$R$2:$AA$2,0))</f>
        <v>221.19341555555556</v>
      </c>
      <c r="K28" s="66">
        <f>INDEX(res_eff!$R$3:$AA$35,MATCH($A28&amp;$B28&amp;$C28,res_eff!$AC$3:$AC$35,0),MATCH(K$2,res_eff!$R$2:$AA$2,0))</f>
        <v>221.19341555555556</v>
      </c>
      <c r="L28" s="66">
        <f>INDEX(res_eff!$R$3:$AA$35,MATCH($A28&amp;$B28&amp;$C28,res_eff!$AC$3:$AC$35,0),MATCH(L$2,res_eff!$R$2:$AA$2,0))</f>
        <v>221.19341555555556</v>
      </c>
      <c r="M28" s="66">
        <f>INDEX(res_eff!$R$3:$AA$35,MATCH($A28&amp;$B28&amp;$C28,res_eff!$AC$3:$AC$35,0),MATCH(M$2,res_eff!$R$2:$AA$2,0))</f>
        <v>221.19341555555556</v>
      </c>
      <c r="N28" s="66">
        <f>INDEX(res_eff!$R$3:$AA$35,MATCH($A28&amp;$B28&amp;$C28,res_eff!$AC$3:$AC$35,0),MATCH(N$2,res_eff!$R$2:$AA$2,0))</f>
        <v>221.19341555555556</v>
      </c>
      <c r="O28" s="66">
        <f>INDEX(res_eff!$R$3:$AA$35,MATCH($A28&amp;$B28&amp;$C28,res_eff!$AC$3:$AC$35,0),MATCH(O$2,res_eff!$R$2:$AA$2,0))</f>
        <v>221.19341555555556</v>
      </c>
    </row>
    <row r="29" spans="1:15" x14ac:dyDescent="0.2">
      <c r="A29" t="s">
        <v>78</v>
      </c>
      <c r="B29" t="s">
        <v>7</v>
      </c>
      <c r="C29" t="s">
        <v>112</v>
      </c>
      <c r="D29" t="s">
        <v>121</v>
      </c>
      <c r="E29" s="65">
        <f t="shared" si="1"/>
        <v>0.97140912589961592</v>
      </c>
      <c r="F29" s="66">
        <f>INDEX(res_eff!$R$3:$AA$35,MATCH($A29&amp;$B29&amp;$C29,res_eff!$AC$3:$AC$35,0),MATCH(F$2,res_eff!$R$2:$AA$2,0))</f>
        <v>0.97140912589961592</v>
      </c>
      <c r="G29" s="66">
        <f>INDEX(res_eff!$R$3:$AA$35,MATCH($A29&amp;$B29&amp;$C29,res_eff!$AC$3:$AC$35,0),MATCH(G$2,res_eff!$R$2:$AA$2,0))</f>
        <v>0.97140912589961592</v>
      </c>
      <c r="H29" s="66">
        <f>INDEX(res_eff!$R$3:$AA$35,MATCH($A29&amp;$B29&amp;$C29,res_eff!$AC$3:$AC$35,0),MATCH(H$2,res_eff!$R$2:$AA$2,0))</f>
        <v>0.97140912589961592</v>
      </c>
      <c r="I29" s="66">
        <f>INDEX(res_eff!$R$3:$AA$35,MATCH($A29&amp;$B29&amp;$C29,res_eff!$AC$3:$AC$35,0),MATCH(I$2,res_eff!$R$2:$AA$2,0))</f>
        <v>0.97140912589961592</v>
      </c>
      <c r="J29" s="66">
        <f>INDEX(res_eff!$R$3:$AA$35,MATCH($A29&amp;$B29&amp;$C29,res_eff!$AC$3:$AC$35,0),MATCH(J$2,res_eff!$R$2:$AA$2,0))</f>
        <v>0.97140912589961592</v>
      </c>
      <c r="K29" s="66">
        <f>INDEX(res_eff!$R$3:$AA$35,MATCH($A29&amp;$B29&amp;$C29,res_eff!$AC$3:$AC$35,0),MATCH(K$2,res_eff!$R$2:$AA$2,0))</f>
        <v>0.97140912589961592</v>
      </c>
      <c r="L29" s="66">
        <f>INDEX(res_eff!$R$3:$AA$35,MATCH($A29&amp;$B29&amp;$C29,res_eff!$AC$3:$AC$35,0),MATCH(L$2,res_eff!$R$2:$AA$2,0))</f>
        <v>0.97140912589961592</v>
      </c>
      <c r="M29" s="66">
        <f>INDEX(res_eff!$R$3:$AA$35,MATCH($A29&amp;$B29&amp;$C29,res_eff!$AC$3:$AC$35,0),MATCH(M$2,res_eff!$R$2:$AA$2,0))</f>
        <v>0.97140912589961592</v>
      </c>
      <c r="N29" s="66">
        <f>INDEX(res_eff!$R$3:$AA$35,MATCH($A29&amp;$B29&amp;$C29,res_eff!$AC$3:$AC$35,0),MATCH(N$2,res_eff!$R$2:$AA$2,0))</f>
        <v>0.97140912589961592</v>
      </c>
      <c r="O29" s="66">
        <f>INDEX(res_eff!$R$3:$AA$35,MATCH($A29&amp;$B29&amp;$C29,res_eff!$AC$3:$AC$35,0),MATCH(O$2,res_eff!$R$2:$AA$2,0))</f>
        <v>0.97140912589961592</v>
      </c>
    </row>
    <row r="30" spans="1:15" x14ac:dyDescent="0.2">
      <c r="A30" t="s">
        <v>78</v>
      </c>
      <c r="B30" t="s">
        <v>31</v>
      </c>
      <c r="C30" t="s">
        <v>110</v>
      </c>
      <c r="D30" t="s">
        <v>120</v>
      </c>
      <c r="E30" s="65">
        <f t="shared" si="1"/>
        <v>0.45</v>
      </c>
      <c r="F30" s="66">
        <f>INDEX(res_eff!$R$3:$AA$35,MATCH($A30&amp;$B30&amp;$C30,res_eff!$AC$3:$AC$35,0),MATCH(F$2,res_eff!$R$2:$AA$2,0))</f>
        <v>0.45</v>
      </c>
      <c r="G30" s="66">
        <f>INDEX(res_eff!$R$3:$AA$35,MATCH($A30&amp;$B30&amp;$C30,res_eff!$AC$3:$AC$35,0),MATCH(G$2,res_eff!$R$2:$AA$2,0))</f>
        <v>0.45</v>
      </c>
      <c r="H30" s="66">
        <f>INDEX(res_eff!$R$3:$AA$35,MATCH($A30&amp;$B30&amp;$C30,res_eff!$AC$3:$AC$35,0),MATCH(H$2,res_eff!$R$2:$AA$2,0))</f>
        <v>0.45</v>
      </c>
      <c r="I30" s="66">
        <f>INDEX(res_eff!$R$3:$AA$35,MATCH($A30&amp;$B30&amp;$C30,res_eff!$AC$3:$AC$35,0),MATCH(I$2,res_eff!$R$2:$AA$2,0))</f>
        <v>0.45</v>
      </c>
      <c r="J30" s="66">
        <f>INDEX(res_eff!$R$3:$AA$35,MATCH($A30&amp;$B30&amp;$C30,res_eff!$AC$3:$AC$35,0),MATCH(J$2,res_eff!$R$2:$AA$2,0))</f>
        <v>0.45</v>
      </c>
      <c r="K30" s="66">
        <f>INDEX(res_eff!$R$3:$AA$35,MATCH($A30&amp;$B30&amp;$C30,res_eff!$AC$3:$AC$35,0),MATCH(K$2,res_eff!$R$2:$AA$2,0))</f>
        <v>0.45</v>
      </c>
      <c r="L30" s="66">
        <f>INDEX(res_eff!$R$3:$AA$35,MATCH($A30&amp;$B30&amp;$C30,res_eff!$AC$3:$AC$35,0),MATCH(L$2,res_eff!$R$2:$AA$2,0))</f>
        <v>0.45</v>
      </c>
      <c r="M30" s="66">
        <f>INDEX(res_eff!$R$3:$AA$35,MATCH($A30&amp;$B30&amp;$C30,res_eff!$AC$3:$AC$35,0),MATCH(M$2,res_eff!$R$2:$AA$2,0))</f>
        <v>0.45</v>
      </c>
      <c r="N30" s="66">
        <f>INDEX(res_eff!$R$3:$AA$35,MATCH($A30&amp;$B30&amp;$C30,res_eff!$AC$3:$AC$35,0),MATCH(N$2,res_eff!$R$2:$AA$2,0))</f>
        <v>0.45</v>
      </c>
      <c r="O30" s="66">
        <f>INDEX(res_eff!$R$3:$AA$35,MATCH($A30&amp;$B30&amp;$C30,res_eff!$AC$3:$AC$35,0),MATCH(O$2,res_eff!$R$2:$AA$2,0))</f>
        <v>0.45</v>
      </c>
    </row>
    <row r="31" spans="1:15" x14ac:dyDescent="0.2">
      <c r="A31" t="s">
        <v>78</v>
      </c>
      <c r="B31" t="s">
        <v>31</v>
      </c>
      <c r="C31" t="s">
        <v>111</v>
      </c>
      <c r="D31" t="s">
        <v>120</v>
      </c>
      <c r="E31" s="65">
        <f t="shared" si="1"/>
        <v>0.45</v>
      </c>
      <c r="F31" s="66">
        <f>INDEX(res_eff!$R$3:$AA$35,MATCH($A31&amp;$B31&amp;$C31,res_eff!$AC$3:$AC$35,0),MATCH(F$2,res_eff!$R$2:$AA$2,0))</f>
        <v>0.45</v>
      </c>
      <c r="G31" s="66">
        <f>INDEX(res_eff!$R$3:$AA$35,MATCH($A31&amp;$B31&amp;$C31,res_eff!$AC$3:$AC$35,0),MATCH(G$2,res_eff!$R$2:$AA$2,0))</f>
        <v>0.45</v>
      </c>
      <c r="H31" s="66">
        <f>INDEX(res_eff!$R$3:$AA$35,MATCH($A31&amp;$B31&amp;$C31,res_eff!$AC$3:$AC$35,0),MATCH(H$2,res_eff!$R$2:$AA$2,0))</f>
        <v>0.45</v>
      </c>
      <c r="I31" s="66">
        <f>INDEX(res_eff!$R$3:$AA$35,MATCH($A31&amp;$B31&amp;$C31,res_eff!$AC$3:$AC$35,0),MATCH(I$2,res_eff!$R$2:$AA$2,0))</f>
        <v>0.45</v>
      </c>
      <c r="J31" s="66">
        <f>INDEX(res_eff!$R$3:$AA$35,MATCH($A31&amp;$B31&amp;$C31,res_eff!$AC$3:$AC$35,0),MATCH(J$2,res_eff!$R$2:$AA$2,0))</f>
        <v>0.45</v>
      </c>
      <c r="K31" s="66">
        <f>INDEX(res_eff!$R$3:$AA$35,MATCH($A31&amp;$B31&amp;$C31,res_eff!$AC$3:$AC$35,0),MATCH(K$2,res_eff!$R$2:$AA$2,0))</f>
        <v>0.45</v>
      </c>
      <c r="L31" s="66">
        <f>INDEX(res_eff!$R$3:$AA$35,MATCH($A31&amp;$B31&amp;$C31,res_eff!$AC$3:$AC$35,0),MATCH(L$2,res_eff!$R$2:$AA$2,0))</f>
        <v>0.45</v>
      </c>
      <c r="M31" s="66">
        <f>INDEX(res_eff!$R$3:$AA$35,MATCH($A31&amp;$B31&amp;$C31,res_eff!$AC$3:$AC$35,0),MATCH(M$2,res_eff!$R$2:$AA$2,0))</f>
        <v>0.45</v>
      </c>
      <c r="N31" s="66">
        <f>INDEX(res_eff!$R$3:$AA$35,MATCH($A31&amp;$B31&amp;$C31,res_eff!$AC$3:$AC$35,0),MATCH(N$2,res_eff!$R$2:$AA$2,0))</f>
        <v>0.45</v>
      </c>
      <c r="O31" s="66">
        <f>INDEX(res_eff!$R$3:$AA$35,MATCH($A31&amp;$B31&amp;$C31,res_eff!$AC$3:$AC$35,0),MATCH(O$2,res_eff!$R$2:$AA$2,0))</f>
        <v>0.45</v>
      </c>
    </row>
    <row r="32" spans="1:15" x14ac:dyDescent="0.2">
      <c r="A32" t="s">
        <v>78</v>
      </c>
      <c r="B32" t="s">
        <v>8</v>
      </c>
      <c r="C32" t="s">
        <v>113</v>
      </c>
      <c r="D32" t="s">
        <v>122</v>
      </c>
      <c r="E32">
        <v>0.39900000000000002</v>
      </c>
      <c r="F32">
        <v>0.39900000000000002</v>
      </c>
      <c r="G32">
        <v>0.39900000000000002</v>
      </c>
      <c r="H32">
        <v>0.39900000000000002</v>
      </c>
      <c r="I32">
        <v>0.39900000000000002</v>
      </c>
      <c r="J32">
        <v>0.39900000000000002</v>
      </c>
      <c r="K32">
        <v>0.39900000000000002</v>
      </c>
      <c r="L32">
        <v>0.39900000000000002</v>
      </c>
      <c r="M32">
        <v>0.39900000000000002</v>
      </c>
      <c r="N32">
        <v>0.39900000000000002</v>
      </c>
      <c r="O32">
        <v>0.39900000000000002</v>
      </c>
    </row>
    <row r="33" spans="1:15" x14ac:dyDescent="0.2">
      <c r="A33" t="s">
        <v>78</v>
      </c>
      <c r="B33" t="s">
        <v>8</v>
      </c>
      <c r="C33" t="s">
        <v>114</v>
      </c>
      <c r="D33" t="s">
        <v>122</v>
      </c>
      <c r="E33">
        <v>0.42</v>
      </c>
      <c r="F33">
        <v>0.42</v>
      </c>
      <c r="G33">
        <v>0.42</v>
      </c>
      <c r="H33">
        <v>0.42</v>
      </c>
      <c r="I33">
        <v>0.42</v>
      </c>
      <c r="J33">
        <v>0.42</v>
      </c>
      <c r="K33">
        <v>0.42</v>
      </c>
      <c r="L33">
        <v>0.42</v>
      </c>
      <c r="M33">
        <v>0.42</v>
      </c>
      <c r="N33">
        <v>0.42</v>
      </c>
      <c r="O33">
        <v>0.42</v>
      </c>
    </row>
    <row r="34" spans="1:15" x14ac:dyDescent="0.2">
      <c r="A34" t="s">
        <v>77</v>
      </c>
      <c r="B34" t="s">
        <v>7</v>
      </c>
      <c r="C34" t="s">
        <v>3</v>
      </c>
      <c r="D34" t="s">
        <v>121</v>
      </c>
      <c r="E34" s="65">
        <f t="shared" si="1"/>
        <v>471.65555555555562</v>
      </c>
      <c r="F34" s="66">
        <f>INDEX(res_eff!$R$3:$AA$35,MATCH($A34&amp;$B34&amp;$C34,res_eff!$AC$3:$AC$35,0),MATCH(F$2,res_eff!$R$2:$AA$2,0))</f>
        <v>471.65555555555562</v>
      </c>
      <c r="G34" s="66">
        <f>INDEX(res_eff!$R$3:$AA$35,MATCH($A34&amp;$B34&amp;$C34,res_eff!$AC$3:$AC$35,0),MATCH(G$2,res_eff!$R$2:$AA$2,0))</f>
        <v>471.65555555555562</v>
      </c>
      <c r="H34" s="66">
        <f>INDEX(res_eff!$R$3:$AA$35,MATCH($A34&amp;$B34&amp;$C34,res_eff!$AC$3:$AC$35,0),MATCH(H$2,res_eff!$R$2:$AA$2,0))</f>
        <v>471.65555555555562</v>
      </c>
      <c r="I34" s="66">
        <f>INDEX(res_eff!$R$3:$AA$35,MATCH($A34&amp;$B34&amp;$C34,res_eff!$AC$3:$AC$35,0),MATCH(I$2,res_eff!$R$2:$AA$2,0))</f>
        <v>471.65555555555562</v>
      </c>
      <c r="J34" s="66">
        <f>INDEX(res_eff!$R$3:$AA$35,MATCH($A34&amp;$B34&amp;$C34,res_eff!$AC$3:$AC$35,0),MATCH(J$2,res_eff!$R$2:$AA$2,0))</f>
        <v>471.65555555555562</v>
      </c>
      <c r="K34" s="66">
        <f>INDEX(res_eff!$R$3:$AA$35,MATCH($A34&amp;$B34&amp;$C34,res_eff!$AC$3:$AC$35,0),MATCH(K$2,res_eff!$R$2:$AA$2,0))</f>
        <v>471.65555555555562</v>
      </c>
      <c r="L34" s="66">
        <f>INDEX(res_eff!$R$3:$AA$35,MATCH($A34&amp;$B34&amp;$C34,res_eff!$AC$3:$AC$35,0),MATCH(L$2,res_eff!$R$2:$AA$2,0))</f>
        <v>471.65555555555562</v>
      </c>
      <c r="M34" s="66">
        <f>INDEX(res_eff!$R$3:$AA$35,MATCH($A34&amp;$B34&amp;$C34,res_eff!$AC$3:$AC$35,0),MATCH(M$2,res_eff!$R$2:$AA$2,0))</f>
        <v>471.65555555555562</v>
      </c>
      <c r="N34" s="66">
        <f>INDEX(res_eff!$R$3:$AA$35,MATCH($A34&amp;$B34&amp;$C34,res_eff!$AC$3:$AC$35,0),MATCH(N$2,res_eff!$R$2:$AA$2,0))</f>
        <v>471.65555555555562</v>
      </c>
      <c r="O34" s="66">
        <f>INDEX(res_eff!$R$3:$AA$35,MATCH($A34&amp;$B34&amp;$C34,res_eff!$AC$3:$AC$35,0),MATCH(O$2,res_eff!$R$2:$AA$2,0))</f>
        <v>471.65555555555562</v>
      </c>
    </row>
    <row r="35" spans="1:15" x14ac:dyDescent="0.2">
      <c r="A35" t="s">
        <v>77</v>
      </c>
      <c r="B35" t="s">
        <v>7</v>
      </c>
      <c r="C35" t="s">
        <v>4</v>
      </c>
      <c r="D35" t="s">
        <v>121</v>
      </c>
      <c r="E35" s="65">
        <f t="shared" si="1"/>
        <v>495.61666666666673</v>
      </c>
      <c r="F35" s="66">
        <f>INDEX(res_eff!$R$3:$AA$35,MATCH($A35&amp;$B35&amp;$C35,res_eff!$AC$3:$AC$35,0),MATCH(F$2,res_eff!$R$2:$AA$2,0))</f>
        <v>495.61666666666673</v>
      </c>
      <c r="G35" s="66">
        <f>INDEX(res_eff!$R$3:$AA$35,MATCH($A35&amp;$B35&amp;$C35,res_eff!$AC$3:$AC$35,0),MATCH(G$2,res_eff!$R$2:$AA$2,0))</f>
        <v>495.61666666666673</v>
      </c>
      <c r="H35" s="66">
        <f>INDEX(res_eff!$R$3:$AA$35,MATCH($A35&amp;$B35&amp;$C35,res_eff!$AC$3:$AC$35,0),MATCH(H$2,res_eff!$R$2:$AA$2,0))</f>
        <v>495.61666666666673</v>
      </c>
      <c r="I35" s="66">
        <f>INDEX(res_eff!$R$3:$AA$35,MATCH($A35&amp;$B35&amp;$C35,res_eff!$AC$3:$AC$35,0),MATCH(I$2,res_eff!$R$2:$AA$2,0))</f>
        <v>495.61666666666673</v>
      </c>
      <c r="J35" s="66">
        <f>INDEX(res_eff!$R$3:$AA$35,MATCH($A35&amp;$B35&amp;$C35,res_eff!$AC$3:$AC$35,0),MATCH(J$2,res_eff!$R$2:$AA$2,0))</f>
        <v>495.61666666666673</v>
      </c>
      <c r="K35" s="66">
        <f>INDEX(res_eff!$R$3:$AA$35,MATCH($A35&amp;$B35&amp;$C35,res_eff!$AC$3:$AC$35,0),MATCH(K$2,res_eff!$R$2:$AA$2,0))</f>
        <v>495.61666666666673</v>
      </c>
      <c r="L35" s="66">
        <f>INDEX(res_eff!$R$3:$AA$35,MATCH($A35&amp;$B35&amp;$C35,res_eff!$AC$3:$AC$35,0),MATCH(L$2,res_eff!$R$2:$AA$2,0))</f>
        <v>495.61666666666673</v>
      </c>
      <c r="M35" s="66">
        <f>INDEX(res_eff!$R$3:$AA$35,MATCH($A35&amp;$B35&amp;$C35,res_eff!$AC$3:$AC$35,0),MATCH(M$2,res_eff!$R$2:$AA$2,0))</f>
        <v>495.61666666666673</v>
      </c>
      <c r="N35" s="66">
        <f>INDEX(res_eff!$R$3:$AA$35,MATCH($A35&amp;$B35&amp;$C35,res_eff!$AC$3:$AC$35,0),MATCH(N$2,res_eff!$R$2:$AA$2,0))</f>
        <v>495.61666666666673</v>
      </c>
      <c r="O35" s="66">
        <f>INDEX(res_eff!$R$3:$AA$35,MATCH($A35&amp;$B35&amp;$C35,res_eff!$AC$3:$AC$35,0),MATCH(O$2,res_eff!$R$2:$AA$2,0))</f>
        <v>495.61666666666673</v>
      </c>
    </row>
    <row r="36" spans="1:15" x14ac:dyDescent="0.2">
      <c r="A36" t="s">
        <v>77</v>
      </c>
      <c r="B36" t="s">
        <v>31</v>
      </c>
      <c r="C36" t="s">
        <v>3</v>
      </c>
      <c r="D36" t="s">
        <v>120</v>
      </c>
      <c r="E36" s="65">
        <f t="shared" si="1"/>
        <v>418.68888888888887</v>
      </c>
      <c r="F36" s="66">
        <f>INDEX(res_eff!$R$3:$AA$35,MATCH($A36&amp;$B36&amp;$C36,res_eff!$AC$3:$AC$35,0),MATCH(F$2,res_eff!$R$2:$AA$2,0))</f>
        <v>418.68888888888887</v>
      </c>
      <c r="G36" s="66">
        <f>INDEX(res_eff!$R$3:$AA$35,MATCH($A36&amp;$B36&amp;$C36,res_eff!$AC$3:$AC$35,0),MATCH(G$2,res_eff!$R$2:$AA$2,0))</f>
        <v>418.68888888888887</v>
      </c>
      <c r="H36" s="66">
        <f>INDEX(res_eff!$R$3:$AA$35,MATCH($A36&amp;$B36&amp;$C36,res_eff!$AC$3:$AC$35,0),MATCH(H$2,res_eff!$R$2:$AA$2,0))</f>
        <v>418.68888888888887</v>
      </c>
      <c r="I36" s="66">
        <f>INDEX(res_eff!$R$3:$AA$35,MATCH($A36&amp;$B36&amp;$C36,res_eff!$AC$3:$AC$35,0),MATCH(I$2,res_eff!$R$2:$AA$2,0))</f>
        <v>418.68888888888887</v>
      </c>
      <c r="J36" s="66">
        <f>INDEX(res_eff!$R$3:$AA$35,MATCH($A36&amp;$B36&amp;$C36,res_eff!$AC$3:$AC$35,0),MATCH(J$2,res_eff!$R$2:$AA$2,0))</f>
        <v>418.68888888888887</v>
      </c>
      <c r="K36" s="66">
        <f>INDEX(res_eff!$R$3:$AA$35,MATCH($A36&amp;$B36&amp;$C36,res_eff!$AC$3:$AC$35,0),MATCH(K$2,res_eff!$R$2:$AA$2,0))</f>
        <v>418.68888888888887</v>
      </c>
      <c r="L36" s="66">
        <f>INDEX(res_eff!$R$3:$AA$35,MATCH($A36&amp;$B36&amp;$C36,res_eff!$AC$3:$AC$35,0),MATCH(L$2,res_eff!$R$2:$AA$2,0))</f>
        <v>418.68888888888887</v>
      </c>
      <c r="M36" s="66">
        <f>INDEX(res_eff!$R$3:$AA$35,MATCH($A36&amp;$B36&amp;$C36,res_eff!$AC$3:$AC$35,0),MATCH(M$2,res_eff!$R$2:$AA$2,0))</f>
        <v>418.68888888888887</v>
      </c>
      <c r="N36" s="66">
        <f>INDEX(res_eff!$R$3:$AA$35,MATCH($A36&amp;$B36&amp;$C36,res_eff!$AC$3:$AC$35,0),MATCH(N$2,res_eff!$R$2:$AA$2,0))</f>
        <v>418.68888888888887</v>
      </c>
      <c r="O36" s="66">
        <f>INDEX(res_eff!$R$3:$AA$35,MATCH($A36&amp;$B36&amp;$C36,res_eff!$AC$3:$AC$35,0),MATCH(O$2,res_eff!$R$2:$AA$2,0))</f>
        <v>418.68888888888887</v>
      </c>
    </row>
    <row r="37" spans="1:15" x14ac:dyDescent="0.2">
      <c r="A37" t="s">
        <v>74</v>
      </c>
      <c r="B37" t="s">
        <v>7</v>
      </c>
      <c r="C37" t="s">
        <v>5</v>
      </c>
      <c r="D37" t="s">
        <v>121</v>
      </c>
      <c r="E37" s="65">
        <f t="shared" si="1"/>
        <v>1234.5679012345679</v>
      </c>
      <c r="F37" s="66">
        <f>INDEX(res_eff!$R$3:$AA$35,MATCH($A37&amp;$B37&amp;$C37,res_eff!$AC$3:$AC$35,0),MATCH(F$2,res_eff!$R$2:$AA$2,0))</f>
        <v>1234.5679012345679</v>
      </c>
      <c r="G37" s="66">
        <f>INDEX(res_eff!$R$3:$AA$35,MATCH($A37&amp;$B37&amp;$C37,res_eff!$AC$3:$AC$35,0),MATCH(G$2,res_eff!$R$2:$AA$2,0))</f>
        <v>1234.5679012345679</v>
      </c>
      <c r="H37" s="66">
        <f>INDEX(res_eff!$R$3:$AA$35,MATCH($A37&amp;$B37&amp;$C37,res_eff!$AC$3:$AC$35,0),MATCH(H$2,res_eff!$R$2:$AA$2,0))</f>
        <v>1234.5679012345679</v>
      </c>
      <c r="I37" s="66">
        <f>INDEX(res_eff!$R$3:$AA$35,MATCH($A37&amp;$B37&amp;$C37,res_eff!$AC$3:$AC$35,0),MATCH(I$2,res_eff!$R$2:$AA$2,0))</f>
        <v>1234.5679012345679</v>
      </c>
      <c r="J37" s="66">
        <f>INDEX(res_eff!$R$3:$AA$35,MATCH($A37&amp;$B37&amp;$C37,res_eff!$AC$3:$AC$35,0),MATCH(J$2,res_eff!$R$2:$AA$2,0))</f>
        <v>1355.0135501355014</v>
      </c>
      <c r="K37" s="66">
        <f>INDEX(res_eff!$R$3:$AA$35,MATCH($A37&amp;$B37&amp;$C37,res_eff!$AC$3:$AC$35,0),MATCH(K$2,res_eff!$R$2:$AA$2,0))</f>
        <v>1355.0135501355014</v>
      </c>
      <c r="L37" s="66">
        <f>INDEX(res_eff!$R$3:$AA$35,MATCH($A37&amp;$B37&amp;$C37,res_eff!$AC$3:$AC$35,0),MATCH(L$2,res_eff!$R$2:$AA$2,0))</f>
        <v>1355.0135501355014</v>
      </c>
      <c r="M37" s="66">
        <f>INDEX(res_eff!$R$3:$AA$35,MATCH($A37&amp;$B37&amp;$C37,res_eff!$AC$3:$AC$35,0),MATCH(M$2,res_eff!$R$2:$AA$2,0))</f>
        <v>1355.0135501355014</v>
      </c>
      <c r="N37" s="66">
        <f>INDEX(res_eff!$R$3:$AA$35,MATCH($A37&amp;$B37&amp;$C37,res_eff!$AC$3:$AC$35,0),MATCH(N$2,res_eff!$R$2:$AA$2,0))</f>
        <v>1355.0135501355014</v>
      </c>
      <c r="O37" s="66">
        <f>INDEX(res_eff!$R$3:$AA$35,MATCH($A37&amp;$B37&amp;$C37,res_eff!$AC$3:$AC$35,0),MATCH(O$2,res_eff!$R$2:$AA$2,0))</f>
        <v>1355.0135501355014</v>
      </c>
    </row>
    <row r="38" spans="1:15" x14ac:dyDescent="0.2">
      <c r="A38" t="s">
        <v>74</v>
      </c>
      <c r="B38" t="s">
        <v>7</v>
      </c>
      <c r="C38" t="s">
        <v>6</v>
      </c>
      <c r="D38" t="s">
        <v>121</v>
      </c>
      <c r="E38" s="65">
        <f t="shared" si="1"/>
        <v>1234.5679012345679</v>
      </c>
      <c r="F38" s="66">
        <f>INDEX(res_eff!$R$3:$AA$35,MATCH($A38&amp;$B38&amp;$C38,res_eff!$AC$3:$AC$35,0),MATCH(F$2,res_eff!$R$2:$AA$2,0))</f>
        <v>1234.5679012345679</v>
      </c>
      <c r="G38" s="66">
        <f>INDEX(res_eff!$R$3:$AA$35,MATCH($A38&amp;$B38&amp;$C38,res_eff!$AC$3:$AC$35,0),MATCH(G$2,res_eff!$R$2:$AA$2,0))</f>
        <v>1234.5679012345679</v>
      </c>
      <c r="H38" s="66">
        <f>INDEX(res_eff!$R$3:$AA$35,MATCH($A38&amp;$B38&amp;$C38,res_eff!$AC$3:$AC$35,0),MATCH(H$2,res_eff!$R$2:$AA$2,0))</f>
        <v>1234.5679012345679</v>
      </c>
      <c r="I38" s="66">
        <f>INDEX(res_eff!$R$3:$AA$35,MATCH($A38&amp;$B38&amp;$C38,res_eff!$AC$3:$AC$35,0),MATCH(I$2,res_eff!$R$2:$AA$2,0))</f>
        <v>1234.5679012345679</v>
      </c>
      <c r="J38" s="66">
        <f>INDEX(res_eff!$R$3:$AA$35,MATCH($A38&amp;$B38&amp;$C38,res_eff!$AC$3:$AC$35,0),MATCH(J$2,res_eff!$R$2:$AA$2,0))</f>
        <v>1355.0135501355014</v>
      </c>
      <c r="K38" s="66">
        <f>INDEX(res_eff!$R$3:$AA$35,MATCH($A38&amp;$B38&amp;$C38,res_eff!$AC$3:$AC$35,0),MATCH(K$2,res_eff!$R$2:$AA$2,0))</f>
        <v>1355.0135501355014</v>
      </c>
      <c r="L38" s="66">
        <f>INDEX(res_eff!$R$3:$AA$35,MATCH($A38&amp;$B38&amp;$C38,res_eff!$AC$3:$AC$35,0),MATCH(L$2,res_eff!$R$2:$AA$2,0))</f>
        <v>1355.0135501355014</v>
      </c>
      <c r="M38" s="66">
        <f>INDEX(res_eff!$R$3:$AA$35,MATCH($A38&amp;$B38&amp;$C38,res_eff!$AC$3:$AC$35,0),MATCH(M$2,res_eff!$R$2:$AA$2,0))</f>
        <v>1355.0135501355014</v>
      </c>
      <c r="N38" s="66">
        <f>INDEX(res_eff!$R$3:$AA$35,MATCH($A38&amp;$B38&amp;$C38,res_eff!$AC$3:$AC$35,0),MATCH(N$2,res_eff!$R$2:$AA$2,0))</f>
        <v>1355.0135501355014</v>
      </c>
      <c r="O38" s="66">
        <f>INDEX(res_eff!$R$3:$AA$35,MATCH($A38&amp;$B38&amp;$C38,res_eff!$AC$3:$AC$35,0),MATCH(O$2,res_eff!$R$2:$AA$2,0))</f>
        <v>1355.0135501355014</v>
      </c>
    </row>
    <row r="39" spans="1:15" x14ac:dyDescent="0.2">
      <c r="A39" t="s">
        <v>80</v>
      </c>
      <c r="B39" t="s">
        <v>7</v>
      </c>
      <c r="C39" t="s">
        <v>7</v>
      </c>
      <c r="D39" t="s">
        <v>121</v>
      </c>
      <c r="E39" s="64">
        <f t="shared" si="1"/>
        <v>1</v>
      </c>
      <c r="F39">
        <v>1</v>
      </c>
      <c r="G39" s="72">
        <v>1.1000000000000001</v>
      </c>
      <c r="H39" s="72">
        <v>1.25</v>
      </c>
      <c r="I39" s="72">
        <v>1.35</v>
      </c>
      <c r="J39" s="72">
        <v>1.35</v>
      </c>
      <c r="K39" s="72">
        <v>1.35</v>
      </c>
      <c r="L39" s="72">
        <v>1.35</v>
      </c>
      <c r="M39" s="72">
        <v>1.35</v>
      </c>
      <c r="N39" s="72">
        <v>1.35</v>
      </c>
      <c r="O39" s="72">
        <v>1.35</v>
      </c>
    </row>
    <row r="40" spans="1:15" x14ac:dyDescent="0.2">
      <c r="A40" t="s">
        <v>81</v>
      </c>
      <c r="B40" t="s">
        <v>7</v>
      </c>
      <c r="C40" t="s">
        <v>7</v>
      </c>
      <c r="D40" t="s">
        <v>121</v>
      </c>
      <c r="E40" s="64">
        <f t="shared" si="1"/>
        <v>1</v>
      </c>
      <c r="F40">
        <v>1</v>
      </c>
      <c r="G40" s="72">
        <v>1.25</v>
      </c>
      <c r="H40" s="72">
        <v>1.5</v>
      </c>
      <c r="I40" s="72">
        <v>1.9</v>
      </c>
      <c r="J40" s="72">
        <v>2.4</v>
      </c>
      <c r="K40" s="72">
        <v>3</v>
      </c>
      <c r="L40" s="72">
        <v>3.8</v>
      </c>
      <c r="M40" s="72">
        <v>3.8</v>
      </c>
      <c r="N40" s="72">
        <v>3.8</v>
      </c>
      <c r="O40" s="72">
        <v>3.8</v>
      </c>
    </row>
    <row r="41" spans="1:15" x14ac:dyDescent="0.2">
      <c r="A41" t="s">
        <v>82</v>
      </c>
      <c r="B41" t="s">
        <v>7</v>
      </c>
      <c r="C41" t="s">
        <v>7</v>
      </c>
      <c r="D41" t="s">
        <v>121</v>
      </c>
      <c r="E41" s="64">
        <f t="shared" si="1"/>
        <v>1</v>
      </c>
      <c r="F41">
        <v>1</v>
      </c>
      <c r="G41" s="72">
        <v>1.17</v>
      </c>
      <c r="H41" s="72">
        <v>1.33</v>
      </c>
      <c r="I41" s="72">
        <v>1.5</v>
      </c>
      <c r="J41" s="72">
        <v>1.67</v>
      </c>
      <c r="K41" s="72">
        <v>1.83</v>
      </c>
      <c r="L41" s="72">
        <v>2</v>
      </c>
      <c r="M41" s="72">
        <v>2</v>
      </c>
      <c r="N41" s="72">
        <v>2</v>
      </c>
      <c r="O41" s="72">
        <v>2</v>
      </c>
    </row>
    <row r="42" spans="1:15" x14ac:dyDescent="0.2">
      <c r="A42" t="s">
        <v>83</v>
      </c>
      <c r="B42" t="s">
        <v>31</v>
      </c>
      <c r="C42" t="s">
        <v>31</v>
      </c>
      <c r="D42" t="s">
        <v>120</v>
      </c>
      <c r="E42" s="64">
        <f t="shared" si="1"/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">
      <c r="A43" t="s">
        <v>83</v>
      </c>
      <c r="B43" t="s">
        <v>7</v>
      </c>
      <c r="C43" t="s">
        <v>7</v>
      </c>
      <c r="D43" t="s">
        <v>121</v>
      </c>
      <c r="E43" s="64">
        <f t="shared" si="1"/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">
      <c r="A44" t="s">
        <v>83</v>
      </c>
      <c r="B44" t="s">
        <v>8</v>
      </c>
      <c r="C44" t="s">
        <v>8</v>
      </c>
      <c r="D44" t="s">
        <v>122</v>
      </c>
      <c r="E44" s="64">
        <f t="shared" si="1"/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">
      <c r="A45" t="s">
        <v>53</v>
      </c>
      <c r="B45" t="s">
        <v>105</v>
      </c>
      <c r="C45" t="s">
        <v>106</v>
      </c>
      <c r="D45" t="s">
        <v>118</v>
      </c>
      <c r="E45" s="64">
        <f t="shared" si="1"/>
        <v>0.65</v>
      </c>
      <c r="F45">
        <v>0.65</v>
      </c>
      <c r="G45">
        <v>0.65</v>
      </c>
      <c r="H45">
        <v>0.65</v>
      </c>
      <c r="I45">
        <v>0.65</v>
      </c>
      <c r="J45">
        <v>0.65</v>
      </c>
      <c r="K45">
        <v>0.65</v>
      </c>
      <c r="L45">
        <v>0.65</v>
      </c>
      <c r="M45">
        <v>0.65</v>
      </c>
      <c r="N45">
        <v>0.65</v>
      </c>
      <c r="O45">
        <v>0.65</v>
      </c>
    </row>
    <row r="46" spans="1:15" x14ac:dyDescent="0.2">
      <c r="A46" t="s">
        <v>53</v>
      </c>
      <c r="B46" t="s">
        <v>107</v>
      </c>
      <c r="C46" t="s">
        <v>108</v>
      </c>
      <c r="D46" t="s">
        <v>119</v>
      </c>
      <c r="E46" s="64">
        <f t="shared" si="1"/>
        <v>0.65</v>
      </c>
      <c r="F46">
        <v>0.65</v>
      </c>
      <c r="G46">
        <v>0.65</v>
      </c>
      <c r="H46">
        <v>0.65</v>
      </c>
      <c r="I46">
        <v>0.65</v>
      </c>
      <c r="J46">
        <v>0.65</v>
      </c>
      <c r="K46">
        <v>0.65</v>
      </c>
      <c r="L46">
        <v>0.65</v>
      </c>
      <c r="M46">
        <v>0.65</v>
      </c>
      <c r="N46">
        <v>0.65</v>
      </c>
      <c r="O46">
        <v>0.65</v>
      </c>
    </row>
    <row r="47" spans="1:15" x14ac:dyDescent="0.2">
      <c r="A47" t="s">
        <v>53</v>
      </c>
      <c r="B47" t="s">
        <v>31</v>
      </c>
      <c r="C47" t="s">
        <v>15</v>
      </c>
      <c r="D47" t="s">
        <v>120</v>
      </c>
      <c r="E47" s="65">
        <f t="shared" si="1"/>
        <v>0.79385087593974102</v>
      </c>
      <c r="F47" s="66">
        <f>INDEX(comm_eff!$D$3:$M$26,MATCH($A47&amp;$B47&amp;$C47,comm_eff!$O$3:$O$26,0),MATCH(F$2,comm_eff!$D$2:$M$2,0))</f>
        <v>0.79385087593974102</v>
      </c>
      <c r="G47" s="66">
        <f>INDEX(comm_eff!$D$3:$M$26,MATCH($A47&amp;$B47&amp;$C47,comm_eff!$O$3:$O$26,0),MATCH(G$2,comm_eff!$D$2:$M$2,0))</f>
        <v>0.79385087593974102</v>
      </c>
      <c r="H47" s="66">
        <f>INDEX(comm_eff!$D$3:$M$26,MATCH($A47&amp;$B47&amp;$C47,comm_eff!$O$3:$O$26,0),MATCH(H$2,comm_eff!$D$2:$M$2,0))</f>
        <v>0.79385087593974102</v>
      </c>
      <c r="I47" s="66">
        <f>INDEX(comm_eff!$D$3:$M$26,MATCH($A47&amp;$B47&amp;$C47,comm_eff!$O$3:$O$26,0),MATCH(I$2,comm_eff!$D$2:$M$2,0))</f>
        <v>0.79822594433940897</v>
      </c>
      <c r="J47" s="66">
        <f>INDEX(comm_eff!$D$3:$M$26,MATCH($A47&amp;$B47&amp;$C47,comm_eff!$O$3:$O$26,0),MATCH(J$2,comm_eff!$D$2:$M$2,0))</f>
        <v>0.80128109868990505</v>
      </c>
      <c r="K47" s="66">
        <f>INDEX(comm_eff!$D$3:$M$26,MATCH($A47&amp;$B47&amp;$C47,comm_eff!$O$3:$O$26,0),MATCH(K$2,comm_eff!$D$2:$M$2,0))</f>
        <v>0.80322170005970595</v>
      </c>
      <c r="L47" s="66">
        <f>INDEX(comm_eff!$D$3:$M$26,MATCH($A47&amp;$B47&amp;$C47,comm_eff!$O$3:$O$26,0),MATCH(L$2,comm_eff!$D$2:$M$2,0))</f>
        <v>0.80408113524590696</v>
      </c>
      <c r="M47" s="66">
        <f>INDEX(comm_eff!$D$3:$M$26,MATCH($A47&amp;$B47&amp;$C47,comm_eff!$O$3:$O$26,0),MATCH(M$2,comm_eff!$D$2:$M$2,0))</f>
        <v>0.80438089710712901</v>
      </c>
      <c r="N47" s="66">
        <f>INDEX(comm_eff!$D$3:$M$26,MATCH($A47&amp;$B47&amp;$C47,comm_eff!$O$3:$O$26,0),MATCH(N$2,comm_eff!$D$2:$M$2,0))</f>
        <v>0.80454163378186905</v>
      </c>
      <c r="O47" s="66">
        <f>INDEX(comm_eff!$D$3:$M$26,MATCH($A47&amp;$B47&amp;$C47,comm_eff!$O$3:$O$26,0),MATCH(O$2,comm_eff!$D$2:$M$2,0))</f>
        <v>0.80454163378186905</v>
      </c>
    </row>
    <row r="48" spans="1:15" x14ac:dyDescent="0.2">
      <c r="A48" t="s">
        <v>53</v>
      </c>
      <c r="B48" t="s">
        <v>31</v>
      </c>
      <c r="C48" t="s">
        <v>16</v>
      </c>
      <c r="D48" t="s">
        <v>120</v>
      </c>
      <c r="E48" s="65">
        <f t="shared" si="1"/>
        <v>0.79385087593974102</v>
      </c>
      <c r="F48" s="66">
        <f>INDEX(comm_eff!$D$3:$M$26,MATCH($A48&amp;$B48&amp;$C48,comm_eff!$O$3:$O$26,0),MATCH(F$2,comm_eff!$D$2:$M$2,0))</f>
        <v>0.79385087593974102</v>
      </c>
      <c r="G48" s="66">
        <f>INDEX(comm_eff!$D$3:$M$26,MATCH($A48&amp;$B48&amp;$C48,comm_eff!$O$3:$O$26,0),MATCH(G$2,comm_eff!$D$2:$M$2,0))</f>
        <v>0.79385087593974102</v>
      </c>
      <c r="H48" s="66">
        <f>INDEX(comm_eff!$D$3:$M$26,MATCH($A48&amp;$B48&amp;$C48,comm_eff!$O$3:$O$26,0),MATCH(H$2,comm_eff!$D$2:$M$2,0))</f>
        <v>0.79385087593974102</v>
      </c>
      <c r="I48" s="66">
        <f>INDEX(comm_eff!$D$3:$M$26,MATCH($A48&amp;$B48&amp;$C48,comm_eff!$O$3:$O$26,0),MATCH(I$2,comm_eff!$D$2:$M$2,0))</f>
        <v>0.79822594433940897</v>
      </c>
      <c r="J48" s="66">
        <f>INDEX(comm_eff!$D$3:$M$26,MATCH($A48&amp;$B48&amp;$C48,comm_eff!$O$3:$O$26,0),MATCH(J$2,comm_eff!$D$2:$M$2,0))</f>
        <v>0.80128109868990505</v>
      </c>
      <c r="K48" s="66">
        <f>INDEX(comm_eff!$D$3:$M$26,MATCH($A48&amp;$B48&amp;$C48,comm_eff!$O$3:$O$26,0),MATCH(K$2,comm_eff!$D$2:$M$2,0))</f>
        <v>0.80322170005970595</v>
      </c>
      <c r="L48" s="66">
        <f>INDEX(comm_eff!$D$3:$M$26,MATCH($A48&amp;$B48&amp;$C48,comm_eff!$O$3:$O$26,0),MATCH(L$2,comm_eff!$D$2:$M$2,0))</f>
        <v>0.80408113524590696</v>
      </c>
      <c r="M48" s="66">
        <f>INDEX(comm_eff!$D$3:$M$26,MATCH($A48&amp;$B48&amp;$C48,comm_eff!$O$3:$O$26,0),MATCH(M$2,comm_eff!$D$2:$M$2,0))</f>
        <v>0.80438089710712901</v>
      </c>
      <c r="N48" s="66">
        <f>INDEX(comm_eff!$D$3:$M$26,MATCH($A48&amp;$B48&amp;$C48,comm_eff!$O$3:$O$26,0),MATCH(N$2,comm_eff!$D$2:$M$2,0))</f>
        <v>0.80454163378186905</v>
      </c>
      <c r="O48" s="66">
        <f>INDEX(comm_eff!$D$3:$M$26,MATCH($A48&amp;$B48&amp;$C48,comm_eff!$O$3:$O$26,0),MATCH(O$2,comm_eff!$D$2:$M$2,0))</f>
        <v>0.80454163378186905</v>
      </c>
    </row>
    <row r="49" spans="1:15" x14ac:dyDescent="0.2">
      <c r="A49" t="s">
        <v>53</v>
      </c>
      <c r="B49" t="s">
        <v>7</v>
      </c>
      <c r="C49" t="s">
        <v>17</v>
      </c>
      <c r="D49" t="s">
        <v>121</v>
      </c>
      <c r="E49" s="65">
        <f t="shared" si="1"/>
        <v>1</v>
      </c>
      <c r="F49" s="66">
        <f>INDEX(comm_eff!$D$3:$M$26,MATCH($A49&amp;$B49&amp;$C49,comm_eff!$O$3:$O$26,0),MATCH(F$2,comm_eff!$D$2:$M$2,0))</f>
        <v>1</v>
      </c>
      <c r="G49" s="66">
        <f>INDEX(comm_eff!$D$3:$M$26,MATCH($A49&amp;$B49&amp;$C49,comm_eff!$O$3:$O$26,0),MATCH(G$2,comm_eff!$D$2:$M$2,0))</f>
        <v>1</v>
      </c>
      <c r="H49" s="66">
        <f>INDEX(comm_eff!$D$3:$M$26,MATCH($A49&amp;$B49&amp;$C49,comm_eff!$O$3:$O$26,0),MATCH(H$2,comm_eff!$D$2:$M$2,0))</f>
        <v>1</v>
      </c>
      <c r="I49" s="66">
        <f>INDEX(comm_eff!$D$3:$M$26,MATCH($A49&amp;$B49&amp;$C49,comm_eff!$O$3:$O$26,0),MATCH(I$2,comm_eff!$D$2:$M$2,0))</f>
        <v>1</v>
      </c>
      <c r="J49" s="66">
        <f>INDEX(comm_eff!$D$3:$M$26,MATCH($A49&amp;$B49&amp;$C49,comm_eff!$O$3:$O$26,0),MATCH(J$2,comm_eff!$D$2:$M$2,0))</f>
        <v>1</v>
      </c>
      <c r="K49" s="66">
        <f>INDEX(comm_eff!$D$3:$M$26,MATCH($A49&amp;$B49&amp;$C49,comm_eff!$O$3:$O$26,0),MATCH(K$2,comm_eff!$D$2:$M$2,0))</f>
        <v>1</v>
      </c>
      <c r="L49" s="66">
        <f>INDEX(comm_eff!$D$3:$M$26,MATCH($A49&amp;$B49&amp;$C49,comm_eff!$O$3:$O$26,0),MATCH(L$2,comm_eff!$D$2:$M$2,0))</f>
        <v>1</v>
      </c>
      <c r="M49" s="66">
        <f>INDEX(comm_eff!$D$3:$M$26,MATCH($A49&amp;$B49&amp;$C49,comm_eff!$O$3:$O$26,0),MATCH(M$2,comm_eff!$D$2:$M$2,0))</f>
        <v>1</v>
      </c>
      <c r="N49" s="66">
        <f>INDEX(comm_eff!$D$3:$M$26,MATCH($A49&amp;$B49&amp;$C49,comm_eff!$O$3:$O$26,0),MATCH(N$2,comm_eff!$D$2:$M$2,0))</f>
        <v>1</v>
      </c>
      <c r="O49" s="66">
        <f>INDEX(comm_eff!$D$3:$M$26,MATCH($A49&amp;$B49&amp;$C49,comm_eff!$O$3:$O$26,0),MATCH(O$2,comm_eff!$D$2:$M$2,0))</f>
        <v>1</v>
      </c>
    </row>
    <row r="50" spans="1:15" x14ac:dyDescent="0.2">
      <c r="A50" t="s">
        <v>53</v>
      </c>
      <c r="B50" t="s">
        <v>7</v>
      </c>
      <c r="C50" t="s">
        <v>18</v>
      </c>
      <c r="D50" t="s">
        <v>121</v>
      </c>
      <c r="E50" s="65">
        <f t="shared" si="1"/>
        <v>3.4</v>
      </c>
      <c r="F50" s="66">
        <f>INDEX(comm_eff!$D$3:$M$26,MATCH($A50&amp;$B50&amp;$C50,comm_eff!$O$3:$O$26,0),MATCH(F$2,comm_eff!$D$2:$M$2,0))</f>
        <v>3.4</v>
      </c>
      <c r="G50" s="66">
        <f>INDEX(comm_eff!$D$3:$M$26,MATCH($A50&amp;$B50&amp;$C50,comm_eff!$O$3:$O$26,0),MATCH(G$2,comm_eff!$D$2:$M$2,0))</f>
        <v>3.4</v>
      </c>
      <c r="H50" s="66">
        <f>INDEX(comm_eff!$D$3:$M$26,MATCH($A50&amp;$B50&amp;$C50,comm_eff!$O$3:$O$26,0),MATCH(H$2,comm_eff!$D$2:$M$2,0))</f>
        <v>3.4</v>
      </c>
      <c r="I50" s="66">
        <f>INDEX(comm_eff!$D$3:$M$26,MATCH($A50&amp;$B50&amp;$C50,comm_eff!$O$3:$O$26,0),MATCH(I$2,comm_eff!$D$2:$M$2,0))</f>
        <v>3.4</v>
      </c>
      <c r="J50" s="66">
        <f>INDEX(comm_eff!$D$3:$M$26,MATCH($A50&amp;$B50&amp;$C50,comm_eff!$O$3:$O$26,0),MATCH(J$2,comm_eff!$D$2:$M$2,0))</f>
        <v>3.4</v>
      </c>
      <c r="K50" s="66">
        <f>INDEX(comm_eff!$D$3:$M$26,MATCH($A50&amp;$B50&amp;$C50,comm_eff!$O$3:$O$26,0),MATCH(K$2,comm_eff!$D$2:$M$2,0))</f>
        <v>3.4</v>
      </c>
      <c r="L50" s="66">
        <f>INDEX(comm_eff!$D$3:$M$26,MATCH($A50&amp;$B50&amp;$C50,comm_eff!$O$3:$O$26,0),MATCH(L$2,comm_eff!$D$2:$M$2,0))</f>
        <v>3.4</v>
      </c>
      <c r="M50" s="66">
        <f>INDEX(comm_eff!$D$3:$M$26,MATCH($A50&amp;$B50&amp;$C50,comm_eff!$O$3:$O$26,0),MATCH(M$2,comm_eff!$D$2:$M$2,0))</f>
        <v>3.4</v>
      </c>
      <c r="N50" s="66">
        <f>INDEX(comm_eff!$D$3:$M$26,MATCH($A50&amp;$B50&amp;$C50,comm_eff!$O$3:$O$26,0),MATCH(N$2,comm_eff!$D$2:$M$2,0))</f>
        <v>3.4</v>
      </c>
      <c r="O50" s="66">
        <f>INDEX(comm_eff!$D$3:$M$26,MATCH($A50&amp;$B50&amp;$C50,comm_eff!$O$3:$O$26,0),MATCH(O$2,comm_eff!$D$2:$M$2,0))</f>
        <v>3.4</v>
      </c>
    </row>
    <row r="51" spans="1:15" x14ac:dyDescent="0.2">
      <c r="A51" t="s">
        <v>53</v>
      </c>
      <c r="B51" t="s">
        <v>8</v>
      </c>
      <c r="C51" t="s">
        <v>19</v>
      </c>
      <c r="D51" t="s">
        <v>122</v>
      </c>
      <c r="E51" s="65">
        <f t="shared" si="1"/>
        <v>0.80031962404832302</v>
      </c>
      <c r="F51" s="66">
        <f>INDEX(comm_eff!$D$3:$M$26,MATCH($A51&amp;$B51&amp;$C51,comm_eff!$O$3:$O$26,0),MATCH(F$2,comm_eff!$D$2:$M$2,0))</f>
        <v>0.80031962404832302</v>
      </c>
      <c r="G51" s="66">
        <f>INDEX(comm_eff!$D$3:$M$26,MATCH($A51&amp;$B51&amp;$C51,comm_eff!$O$3:$O$26,0),MATCH(G$2,comm_eff!$D$2:$M$2,0))</f>
        <v>0.80031962404832302</v>
      </c>
      <c r="H51" s="66">
        <f>INDEX(comm_eff!$D$3:$M$26,MATCH($A51&amp;$B51&amp;$C51,comm_eff!$O$3:$O$26,0),MATCH(H$2,comm_eff!$D$2:$M$2,0))</f>
        <v>0.80031962404832302</v>
      </c>
      <c r="I51" s="66">
        <f>INDEX(comm_eff!$D$3:$M$26,MATCH($A51&amp;$B51&amp;$C51,comm_eff!$O$3:$O$26,0),MATCH(I$2,comm_eff!$D$2:$M$2,0))</f>
        <v>0.811620427110329</v>
      </c>
      <c r="J51" s="66">
        <f>INDEX(comm_eff!$D$3:$M$26,MATCH($A51&amp;$B51&amp;$C51,comm_eff!$O$3:$O$26,0),MATCH(J$2,comm_eff!$D$2:$M$2,0))</f>
        <v>0.81760053631119201</v>
      </c>
      <c r="K51" s="66">
        <f>INDEX(comm_eff!$D$3:$M$26,MATCH($A51&amp;$B51&amp;$C51,comm_eff!$O$3:$O$26,0),MATCH(K$2,comm_eff!$D$2:$M$2,0))</f>
        <v>0.82126588198185901</v>
      </c>
      <c r="L51" s="66">
        <f>INDEX(comm_eff!$D$3:$M$26,MATCH($A51&amp;$B51&amp;$C51,comm_eff!$O$3:$O$26,0),MATCH(L$2,comm_eff!$D$2:$M$2,0))</f>
        <v>0.82367372239100001</v>
      </c>
      <c r="M51" s="66">
        <f>INDEX(comm_eff!$D$3:$M$26,MATCH($A51&amp;$B51&amp;$C51,comm_eff!$O$3:$O$26,0),MATCH(M$2,comm_eff!$D$2:$M$2,0))</f>
        <v>0.82534507650437205</v>
      </c>
      <c r="N51" s="66">
        <f>INDEX(comm_eff!$D$3:$M$26,MATCH($A51&amp;$B51&amp;$C51,comm_eff!$O$3:$O$26,0),MATCH(N$2,comm_eff!$D$2:$M$2,0))</f>
        <v>0.82653346776366798</v>
      </c>
      <c r="O51" s="66">
        <f>INDEX(comm_eff!$D$3:$M$26,MATCH($A51&amp;$B51&amp;$C51,comm_eff!$O$3:$O$26,0),MATCH(O$2,comm_eff!$D$2:$M$2,0))</f>
        <v>0.82653346776366798</v>
      </c>
    </row>
    <row r="52" spans="1:15" x14ac:dyDescent="0.2">
      <c r="A52" t="s">
        <v>54</v>
      </c>
      <c r="B52" t="s">
        <v>31</v>
      </c>
      <c r="C52" t="s">
        <v>38</v>
      </c>
      <c r="D52" t="s">
        <v>120</v>
      </c>
      <c r="E52" s="65">
        <f t="shared" si="1"/>
        <v>1.29864173227629</v>
      </c>
      <c r="F52" s="66">
        <f>INDEX(comm_eff!$D$3:$M$26,MATCH($A52&amp;$B52&amp;$C52,comm_eff!$O$3:$O$26,0),MATCH(F$2,comm_eff!$D$2:$M$2,0))</f>
        <v>1.29864173227629</v>
      </c>
      <c r="G52" s="66">
        <f>INDEX(comm_eff!$D$3:$M$26,MATCH($A52&amp;$B52&amp;$C52,comm_eff!$O$3:$O$26,0),MATCH(G$2,comm_eff!$D$2:$M$2,0))</f>
        <v>1.29864173227629</v>
      </c>
      <c r="H52" s="66">
        <f>INDEX(comm_eff!$D$3:$M$26,MATCH($A52&amp;$B52&amp;$C52,comm_eff!$O$3:$O$26,0),MATCH(H$2,comm_eff!$D$2:$M$2,0))</f>
        <v>1.29864173227629</v>
      </c>
      <c r="I52" s="66">
        <f>INDEX(comm_eff!$D$3:$M$26,MATCH($A52&amp;$B52&amp;$C52,comm_eff!$O$3:$O$26,0),MATCH(I$2,comm_eff!$D$2:$M$2,0))</f>
        <v>1.3619932371732599</v>
      </c>
      <c r="J52" s="66">
        <f>INDEX(comm_eff!$D$3:$M$26,MATCH($A52&amp;$B52&amp;$C52,comm_eff!$O$3:$O$26,0),MATCH(J$2,comm_eff!$D$2:$M$2,0))</f>
        <v>1.4063555094361899</v>
      </c>
      <c r="K52" s="66">
        <f>INDEX(comm_eff!$D$3:$M$26,MATCH($A52&amp;$B52&amp;$C52,comm_eff!$O$3:$O$26,0),MATCH(K$2,comm_eff!$D$2:$M$2,0))</f>
        <v>1.4353207913647901</v>
      </c>
      <c r="L52" s="66">
        <f>INDEX(comm_eff!$D$3:$M$26,MATCH($A52&amp;$B52&amp;$C52,comm_eff!$O$3:$O$26,0),MATCH(L$2,comm_eff!$D$2:$M$2,0))</f>
        <v>1.45525043099119</v>
      </c>
      <c r="M52" s="66">
        <f>INDEX(comm_eff!$D$3:$M$26,MATCH($A52&amp;$B52&amp;$C52,comm_eff!$O$3:$O$26,0),MATCH(M$2,comm_eff!$D$2:$M$2,0))</f>
        <v>1.46880184862903</v>
      </c>
      <c r="N52" s="66">
        <f>INDEX(comm_eff!$D$3:$M$26,MATCH($A52&amp;$B52&amp;$C52,comm_eff!$O$3:$O$26,0),MATCH(N$2,comm_eff!$D$2:$M$2,0))</f>
        <v>1.4787505941607</v>
      </c>
      <c r="O52" s="66">
        <f>INDEX(comm_eff!$D$3:$M$26,MATCH($A52&amp;$B52&amp;$C52,comm_eff!$O$3:$O$26,0),MATCH(O$2,comm_eff!$D$2:$M$2,0))</f>
        <v>1.4787505941607</v>
      </c>
    </row>
    <row r="53" spans="1:15" x14ac:dyDescent="0.2">
      <c r="A53" t="s">
        <v>54</v>
      </c>
      <c r="B53" t="s">
        <v>7</v>
      </c>
      <c r="C53" t="s">
        <v>9</v>
      </c>
      <c r="D53" t="s">
        <v>121</v>
      </c>
      <c r="E53" s="65">
        <f t="shared" si="1"/>
        <v>3.2354302800811601</v>
      </c>
      <c r="F53" s="66">
        <f>INDEX(comm_eff!$D$3:$M$26,MATCH($A53&amp;$B53&amp;$C53,comm_eff!$O$3:$O$26,0),MATCH(F$2,comm_eff!$D$2:$M$2,0))</f>
        <v>3.2354302800811601</v>
      </c>
      <c r="G53" s="66">
        <f>INDEX(comm_eff!$D$3:$M$26,MATCH($A53&amp;$B53&amp;$C53,comm_eff!$O$3:$O$26,0),MATCH(G$2,comm_eff!$D$2:$M$2,0))</f>
        <v>3.2354302800811601</v>
      </c>
      <c r="H53" s="66">
        <f>INDEX(comm_eff!$D$3:$M$26,MATCH($A53&amp;$B53&amp;$C53,comm_eff!$O$3:$O$26,0),MATCH(H$2,comm_eff!$D$2:$M$2,0))</f>
        <v>3.2354302800811601</v>
      </c>
      <c r="I53" s="66">
        <f>INDEX(comm_eff!$D$3:$M$26,MATCH($A53&amp;$B53&amp;$C53,comm_eff!$O$3:$O$26,0),MATCH(I$2,comm_eff!$D$2:$M$2,0))</f>
        <v>3.3208317492213801</v>
      </c>
      <c r="J53" s="66">
        <f>INDEX(comm_eff!$D$3:$M$26,MATCH($A53&amp;$B53&amp;$C53,comm_eff!$O$3:$O$26,0),MATCH(J$2,comm_eff!$D$2:$M$2,0))</f>
        <v>3.3898202383505498</v>
      </c>
      <c r="K53" s="66">
        <f>INDEX(comm_eff!$D$3:$M$26,MATCH($A53&amp;$B53&amp;$C53,comm_eff!$O$3:$O$26,0),MATCH(K$2,comm_eff!$D$2:$M$2,0))</f>
        <v>3.4415911745684999</v>
      </c>
      <c r="L53" s="66">
        <f>INDEX(comm_eff!$D$3:$M$26,MATCH($A53&amp;$B53&amp;$C53,comm_eff!$O$3:$O$26,0),MATCH(L$2,comm_eff!$D$2:$M$2,0))</f>
        <v>3.48031189396719</v>
      </c>
      <c r="M53" s="66">
        <f>INDEX(comm_eff!$D$3:$M$26,MATCH($A53&amp;$B53&amp;$C53,comm_eff!$O$3:$O$26,0),MATCH(M$2,comm_eff!$D$2:$M$2,0))</f>
        <v>3.5094405235024602</v>
      </c>
      <c r="N53" s="66">
        <f>INDEX(comm_eff!$D$3:$M$26,MATCH($A53&amp;$B53&amp;$C53,comm_eff!$O$3:$O$26,0),MATCH(N$2,comm_eff!$D$2:$M$2,0))</f>
        <v>3.5313973378743002</v>
      </c>
      <c r="O53" s="66">
        <f>INDEX(comm_eff!$D$3:$M$26,MATCH($A53&amp;$B53&amp;$C53,comm_eff!$O$3:$O$26,0),MATCH(O$2,comm_eff!$D$2:$M$2,0))</f>
        <v>3.5313973378743002</v>
      </c>
    </row>
    <row r="54" spans="1:15" x14ac:dyDescent="0.2">
      <c r="A54" t="s">
        <v>54</v>
      </c>
      <c r="B54" t="s">
        <v>7</v>
      </c>
      <c r="C54" t="s">
        <v>10</v>
      </c>
      <c r="D54" t="s">
        <v>121</v>
      </c>
      <c r="E54" s="65">
        <f t="shared" si="1"/>
        <v>3.4</v>
      </c>
      <c r="F54" s="66">
        <f>INDEX(comm_eff!$D$3:$M$26,MATCH($A54&amp;$B54&amp;$C54,comm_eff!$O$3:$O$26,0),MATCH(F$2,comm_eff!$D$2:$M$2,0))</f>
        <v>3.4</v>
      </c>
      <c r="G54" s="66">
        <f>INDEX(comm_eff!$D$3:$M$26,MATCH($A54&amp;$B54&amp;$C54,comm_eff!$O$3:$O$26,0),MATCH(G$2,comm_eff!$D$2:$M$2,0))</f>
        <v>3.4</v>
      </c>
      <c r="H54" s="66">
        <f>INDEX(comm_eff!$D$3:$M$26,MATCH($A54&amp;$B54&amp;$C54,comm_eff!$O$3:$O$26,0),MATCH(H$2,comm_eff!$D$2:$M$2,0))</f>
        <v>3.4</v>
      </c>
      <c r="I54" s="66">
        <f>INDEX(comm_eff!$D$3:$M$26,MATCH($A54&amp;$B54&amp;$C54,comm_eff!$O$3:$O$26,0),MATCH(I$2,comm_eff!$D$2:$M$2,0))</f>
        <v>3.4854014691402102</v>
      </c>
      <c r="J54" s="66">
        <f>INDEX(comm_eff!$D$3:$M$26,MATCH($A54&amp;$B54&amp;$C54,comm_eff!$O$3:$O$26,0),MATCH(J$2,comm_eff!$D$2:$M$2,0))</f>
        <v>3.5543899582693901</v>
      </c>
      <c r="K54" s="66">
        <f>INDEX(comm_eff!$D$3:$M$26,MATCH($A54&amp;$B54&amp;$C54,comm_eff!$O$3:$O$26,0),MATCH(K$2,comm_eff!$D$2:$M$2,0))</f>
        <v>3.60616089448733</v>
      </c>
      <c r="L54" s="66">
        <f>INDEX(comm_eff!$D$3:$M$26,MATCH($A54&amp;$B54&amp;$C54,comm_eff!$O$3:$O$26,0),MATCH(L$2,comm_eff!$D$2:$M$2,0))</f>
        <v>3.6448816138860298</v>
      </c>
      <c r="M54" s="66">
        <f>INDEX(comm_eff!$D$3:$M$26,MATCH($A54&amp;$B54&amp;$C54,comm_eff!$O$3:$O$26,0),MATCH(M$2,comm_eff!$D$2:$M$2,0))</f>
        <v>3.6740102434213</v>
      </c>
      <c r="N54" s="66">
        <f>INDEX(comm_eff!$D$3:$M$26,MATCH($A54&amp;$B54&amp;$C54,comm_eff!$O$3:$O$26,0),MATCH(N$2,comm_eff!$D$2:$M$2,0))</f>
        <v>3.6959670577931298</v>
      </c>
      <c r="O54" s="66">
        <f>INDEX(comm_eff!$D$3:$M$26,MATCH($A54&amp;$B54&amp;$C54,comm_eff!$O$3:$O$26,0),MATCH(O$2,comm_eff!$D$2:$M$2,0))</f>
        <v>3.6959670577931298</v>
      </c>
    </row>
    <row r="55" spans="1:15" x14ac:dyDescent="0.2">
      <c r="A55" t="s">
        <v>55</v>
      </c>
      <c r="B55" t="s">
        <v>31</v>
      </c>
      <c r="C55" t="s">
        <v>21</v>
      </c>
      <c r="D55" t="s">
        <v>120</v>
      </c>
      <c r="E55" s="65">
        <f t="shared" si="1"/>
        <v>0.89682407055673397</v>
      </c>
      <c r="F55" s="66">
        <f>INDEX(comm_eff!$D$3:$M$26,MATCH($A55&amp;$B55&amp;$C55,comm_eff!$O$3:$O$26,0),MATCH(F$2,comm_eff!$D$2:$M$2,0))</f>
        <v>0.89682407055673397</v>
      </c>
      <c r="G55" s="66">
        <f>INDEX(comm_eff!$D$3:$M$26,MATCH($A55&amp;$B55&amp;$C55,comm_eff!$O$3:$O$26,0),MATCH(G$2,comm_eff!$D$2:$M$2,0))</f>
        <v>0.89682407055673397</v>
      </c>
      <c r="H55" s="66">
        <f>INDEX(comm_eff!$D$3:$M$26,MATCH($A55&amp;$B55&amp;$C55,comm_eff!$O$3:$O$26,0),MATCH(H$2,comm_eff!$D$2:$M$2,0))</f>
        <v>0.89682407055673397</v>
      </c>
      <c r="I55" s="66">
        <f>INDEX(comm_eff!$D$3:$M$26,MATCH($A55&amp;$B55&amp;$C55,comm_eff!$O$3:$O$26,0),MATCH(I$2,comm_eff!$D$2:$M$2,0))</f>
        <v>0.92323370351058898</v>
      </c>
      <c r="J55" s="66">
        <f>INDEX(comm_eff!$D$3:$M$26,MATCH($A55&amp;$B55&amp;$C55,comm_eff!$O$3:$O$26,0),MATCH(J$2,comm_eff!$D$2:$M$2,0))</f>
        <v>0.93922274270933703</v>
      </c>
      <c r="K55" s="66">
        <f>INDEX(comm_eff!$D$3:$M$26,MATCH($A55&amp;$B55&amp;$C55,comm_eff!$O$3:$O$26,0),MATCH(K$2,comm_eff!$D$2:$M$2,0))</f>
        <v>0.948677570861719</v>
      </c>
      <c r="L55" s="66">
        <f>INDEX(comm_eff!$D$3:$M$26,MATCH($A55&amp;$B55&amp;$C55,comm_eff!$O$3:$O$26,0),MATCH(L$2,comm_eff!$D$2:$M$2,0))</f>
        <v>0.95419122180750104</v>
      </c>
      <c r="M55" s="66">
        <f>INDEX(comm_eff!$D$3:$M$26,MATCH($A55&amp;$B55&amp;$C55,comm_eff!$O$3:$O$26,0),MATCH(M$2,comm_eff!$D$2:$M$2,0))</f>
        <v>0.957451220614839</v>
      </c>
      <c r="N55" s="66">
        <f>INDEX(comm_eff!$D$3:$M$26,MATCH($A55&amp;$B55&amp;$C55,comm_eff!$O$3:$O$26,0),MATCH(N$2,comm_eff!$D$2:$M$2,0))</f>
        <v>0.95938028956976795</v>
      </c>
      <c r="O55" s="66">
        <f>INDEX(comm_eff!$D$3:$M$26,MATCH($A55&amp;$B55&amp;$C55,comm_eff!$O$3:$O$26,0),MATCH(O$2,comm_eff!$D$2:$M$2,0))</f>
        <v>0.95938028956976795</v>
      </c>
    </row>
    <row r="56" spans="1:15" x14ac:dyDescent="0.2">
      <c r="A56" t="s">
        <v>55</v>
      </c>
      <c r="B56" t="s">
        <v>31</v>
      </c>
      <c r="C56" t="s">
        <v>22</v>
      </c>
      <c r="D56" t="s">
        <v>120</v>
      </c>
      <c r="E56" s="65">
        <f t="shared" si="1"/>
        <v>0.94</v>
      </c>
      <c r="F56" s="66">
        <f>INDEX(comm_eff!$D$3:$M$26,MATCH($A56&amp;$B56&amp;$C56,comm_eff!$O$3:$O$26,0),MATCH(F$2,comm_eff!$D$2:$M$2,0))</f>
        <v>0.94</v>
      </c>
      <c r="G56" s="66">
        <f>INDEX(comm_eff!$D$3:$M$26,MATCH($A56&amp;$B56&amp;$C56,comm_eff!$O$3:$O$26,0),MATCH(G$2,comm_eff!$D$2:$M$2,0))</f>
        <v>0.94</v>
      </c>
      <c r="H56" s="66">
        <f>INDEX(comm_eff!$D$3:$M$26,MATCH($A56&amp;$B56&amp;$C56,comm_eff!$O$3:$O$26,0),MATCH(H$2,comm_eff!$D$2:$M$2,0))</f>
        <v>0.94</v>
      </c>
      <c r="I56" s="66">
        <f>INDEX(comm_eff!$D$3:$M$26,MATCH($A56&amp;$B56&amp;$C56,comm_eff!$O$3:$O$26,0),MATCH(I$2,comm_eff!$D$2:$M$2,0))</f>
        <v>0.96640963295385596</v>
      </c>
      <c r="J56" s="66">
        <f>INDEX(comm_eff!$D$3:$M$26,MATCH($A56&amp;$B56&amp;$C56,comm_eff!$O$3:$O$26,0),MATCH(J$2,comm_eff!$D$2:$M$2,0))</f>
        <v>0.98239867215260401</v>
      </c>
      <c r="K56" s="66">
        <f>INDEX(comm_eff!$D$3:$M$26,MATCH($A56&amp;$B56&amp;$C56,comm_eff!$O$3:$O$26,0),MATCH(K$2,comm_eff!$D$2:$M$2,0))</f>
        <v>0.99185350030498598</v>
      </c>
      <c r="L56" s="66">
        <f>INDEX(comm_eff!$D$3:$M$26,MATCH($A56&amp;$B56&amp;$C56,comm_eff!$O$3:$O$26,0),MATCH(L$2,comm_eff!$D$2:$M$2,0))</f>
        <v>0.99736715125076703</v>
      </c>
      <c r="M56" s="66">
        <f>INDEX(comm_eff!$D$3:$M$26,MATCH($A56&amp;$B56&amp;$C56,comm_eff!$O$3:$O$26,0),MATCH(M$2,comm_eff!$D$2:$M$2,0))</f>
        <v>1.0006271500581101</v>
      </c>
      <c r="N56" s="66">
        <f>INDEX(comm_eff!$D$3:$M$26,MATCH($A56&amp;$B56&amp;$C56,comm_eff!$O$3:$O$26,0),MATCH(N$2,comm_eff!$D$2:$M$2,0))</f>
        <v>1.0025562190130299</v>
      </c>
      <c r="O56" s="66">
        <f>INDEX(comm_eff!$D$3:$M$26,MATCH($A56&amp;$B56&amp;$C56,comm_eff!$O$3:$O$26,0),MATCH(O$2,comm_eff!$D$2:$M$2,0))</f>
        <v>1.0025562190130299</v>
      </c>
    </row>
    <row r="57" spans="1:15" x14ac:dyDescent="0.2">
      <c r="A57" t="s">
        <v>55</v>
      </c>
      <c r="B57" t="s">
        <v>7</v>
      </c>
      <c r="C57" t="s">
        <v>24</v>
      </c>
      <c r="D57" t="s">
        <v>121</v>
      </c>
      <c r="E57" s="65">
        <f t="shared" si="1"/>
        <v>0.97</v>
      </c>
      <c r="F57" s="66">
        <f>INDEX(comm_eff!$D$3:$M$26,MATCH($A57&amp;$B57&amp;$C57,comm_eff!$O$3:$O$26,0),MATCH(F$2,comm_eff!$D$2:$M$2,0))</f>
        <v>0.97</v>
      </c>
      <c r="G57" s="66">
        <f>INDEX(comm_eff!$D$3:$M$26,MATCH($A57&amp;$B57&amp;$C57,comm_eff!$O$3:$O$26,0),MATCH(G$2,comm_eff!$D$2:$M$2,0))</f>
        <v>0.97</v>
      </c>
      <c r="H57" s="66">
        <f>INDEX(comm_eff!$D$3:$M$26,MATCH($A57&amp;$B57&amp;$C57,comm_eff!$O$3:$O$26,0),MATCH(H$2,comm_eff!$D$2:$M$2,0))</f>
        <v>0.97</v>
      </c>
      <c r="I57" s="66">
        <f>INDEX(comm_eff!$D$3:$M$26,MATCH($A57&amp;$B57&amp;$C57,comm_eff!$O$3:$O$26,0),MATCH(I$2,comm_eff!$D$2:$M$2,0))</f>
        <v>0.97</v>
      </c>
      <c r="J57" s="66">
        <f>INDEX(comm_eff!$D$3:$M$26,MATCH($A57&amp;$B57&amp;$C57,comm_eff!$O$3:$O$26,0),MATCH(J$2,comm_eff!$D$2:$M$2,0))</f>
        <v>0.97</v>
      </c>
      <c r="K57" s="66">
        <f>INDEX(comm_eff!$D$3:$M$26,MATCH($A57&amp;$B57&amp;$C57,comm_eff!$O$3:$O$26,0),MATCH(K$2,comm_eff!$D$2:$M$2,0))</f>
        <v>0.97</v>
      </c>
      <c r="L57" s="66">
        <f>INDEX(comm_eff!$D$3:$M$26,MATCH($A57&amp;$B57&amp;$C57,comm_eff!$O$3:$O$26,0),MATCH(L$2,comm_eff!$D$2:$M$2,0))</f>
        <v>0.97</v>
      </c>
      <c r="M57" s="66">
        <f>INDEX(comm_eff!$D$3:$M$26,MATCH($A57&amp;$B57&amp;$C57,comm_eff!$O$3:$O$26,0),MATCH(M$2,comm_eff!$D$2:$M$2,0))</f>
        <v>0.97</v>
      </c>
      <c r="N57" s="66">
        <f>INDEX(comm_eff!$D$3:$M$26,MATCH($A57&amp;$B57&amp;$C57,comm_eff!$O$3:$O$26,0),MATCH(N$2,comm_eff!$D$2:$M$2,0))</f>
        <v>0.97</v>
      </c>
      <c r="O57" s="66">
        <f>INDEX(comm_eff!$D$3:$M$26,MATCH($A57&amp;$B57&amp;$C57,comm_eff!$O$3:$O$26,0),MATCH(O$2,comm_eff!$D$2:$M$2,0))</f>
        <v>0.97</v>
      </c>
    </row>
    <row r="58" spans="1:15" x14ac:dyDescent="0.2">
      <c r="A58" t="s">
        <v>55</v>
      </c>
      <c r="B58" t="s">
        <v>7</v>
      </c>
      <c r="C58" t="s">
        <v>23</v>
      </c>
      <c r="D58" t="s">
        <v>121</v>
      </c>
      <c r="E58" s="65">
        <f t="shared" si="1"/>
        <v>3.9</v>
      </c>
      <c r="F58" s="66">
        <f>INDEX(comm_eff!$D$3:$M$26,MATCH($A58&amp;$B58&amp;$C58,comm_eff!$O$3:$O$26,0),MATCH(F$2,comm_eff!$D$2:$M$2,0))</f>
        <v>3.9</v>
      </c>
      <c r="G58" s="66">
        <f>INDEX(comm_eff!$D$3:$M$26,MATCH($A58&amp;$B58&amp;$C58,comm_eff!$O$3:$O$26,0),MATCH(G$2,comm_eff!$D$2:$M$2,0))</f>
        <v>3.9</v>
      </c>
      <c r="H58" s="66">
        <f>INDEX(comm_eff!$D$3:$M$26,MATCH($A58&amp;$B58&amp;$C58,comm_eff!$O$3:$O$26,0),MATCH(H$2,comm_eff!$D$2:$M$2,0))</f>
        <v>3.9</v>
      </c>
      <c r="I58" s="66">
        <f>INDEX(comm_eff!$D$3:$M$26,MATCH($A58&amp;$B58&amp;$C58,comm_eff!$O$3:$O$26,0),MATCH(I$2,comm_eff!$D$2:$M$2,0))</f>
        <v>3.9</v>
      </c>
      <c r="J58" s="66">
        <f>INDEX(comm_eff!$D$3:$M$26,MATCH($A58&amp;$B58&amp;$C58,comm_eff!$O$3:$O$26,0),MATCH(J$2,comm_eff!$D$2:$M$2,0))</f>
        <v>3.9</v>
      </c>
      <c r="K58" s="66">
        <f>INDEX(comm_eff!$D$3:$M$26,MATCH($A58&amp;$B58&amp;$C58,comm_eff!$O$3:$O$26,0),MATCH(K$2,comm_eff!$D$2:$M$2,0))</f>
        <v>3.9</v>
      </c>
      <c r="L58" s="66">
        <f>INDEX(comm_eff!$D$3:$M$26,MATCH($A58&amp;$B58&amp;$C58,comm_eff!$O$3:$O$26,0),MATCH(L$2,comm_eff!$D$2:$M$2,0))</f>
        <v>3.9</v>
      </c>
      <c r="M58" s="66">
        <f>INDEX(comm_eff!$D$3:$M$26,MATCH($A58&amp;$B58&amp;$C58,comm_eff!$O$3:$O$26,0),MATCH(M$2,comm_eff!$D$2:$M$2,0))</f>
        <v>3.9</v>
      </c>
      <c r="N58" s="66">
        <f>INDEX(comm_eff!$D$3:$M$26,MATCH($A58&amp;$B58&amp;$C58,comm_eff!$O$3:$O$26,0),MATCH(N$2,comm_eff!$D$2:$M$2,0))</f>
        <v>3.9</v>
      </c>
      <c r="O58" s="66">
        <f>INDEX(comm_eff!$D$3:$M$26,MATCH($A58&amp;$B58&amp;$C58,comm_eff!$O$3:$O$26,0),MATCH(O$2,comm_eff!$D$2:$M$2,0))</f>
        <v>3.9</v>
      </c>
    </row>
    <row r="59" spans="1:15" x14ac:dyDescent="0.2">
      <c r="A59" t="s">
        <v>55</v>
      </c>
      <c r="B59" t="s">
        <v>8</v>
      </c>
      <c r="C59" t="s">
        <v>26</v>
      </c>
      <c r="D59" t="s">
        <v>122</v>
      </c>
      <c r="E59" s="65">
        <f t="shared" si="1"/>
        <v>0.80572612998134296</v>
      </c>
      <c r="F59" s="66">
        <f>INDEX(comm_eff!$D$3:$M$26,MATCH($A59&amp;$B59&amp;$C59,comm_eff!$O$3:$O$26,0),MATCH(F$2,comm_eff!$D$2:$M$2,0))</f>
        <v>0.80572612998134296</v>
      </c>
      <c r="G59" s="66">
        <f>INDEX(comm_eff!$D$3:$M$26,MATCH($A59&amp;$B59&amp;$C59,comm_eff!$O$3:$O$26,0),MATCH(G$2,comm_eff!$D$2:$M$2,0))</f>
        <v>0.80572612998134296</v>
      </c>
      <c r="H59" s="66">
        <f>INDEX(comm_eff!$D$3:$M$26,MATCH($A59&amp;$B59&amp;$C59,comm_eff!$O$3:$O$26,0),MATCH(H$2,comm_eff!$D$2:$M$2,0))</f>
        <v>0.80572612998134296</v>
      </c>
      <c r="I59" s="66">
        <f>INDEX(comm_eff!$D$3:$M$26,MATCH($A59&amp;$B59&amp;$C59,comm_eff!$O$3:$O$26,0),MATCH(I$2,comm_eff!$D$2:$M$2,0))</f>
        <v>0.81091571089256897</v>
      </c>
      <c r="J59" s="66">
        <f>INDEX(comm_eff!$D$3:$M$26,MATCH($A59&amp;$B59&amp;$C59,comm_eff!$O$3:$O$26,0),MATCH(J$2,comm_eff!$D$2:$M$2,0))</f>
        <v>0.81422332943616305</v>
      </c>
      <c r="K59" s="66">
        <f>INDEX(comm_eff!$D$3:$M$26,MATCH($A59&amp;$B59&amp;$C59,comm_eff!$O$3:$O$26,0),MATCH(K$2,comm_eff!$D$2:$M$2,0))</f>
        <v>0.81632560995912096</v>
      </c>
      <c r="L59" s="66">
        <f>INDEX(comm_eff!$D$3:$M$26,MATCH($A59&amp;$B59&amp;$C59,comm_eff!$O$3:$O$26,0),MATCH(L$2,comm_eff!$D$2:$M$2,0))</f>
        <v>0.81768593088909503</v>
      </c>
      <c r="M59" s="66">
        <f>INDEX(comm_eff!$D$3:$M$26,MATCH($A59&amp;$B59&amp;$C59,comm_eff!$O$3:$O$26,0),MATCH(M$2,comm_eff!$D$2:$M$2,0))</f>
        <v>0.818519394858507</v>
      </c>
      <c r="N59" s="66">
        <f>INDEX(comm_eff!$D$3:$M$26,MATCH($A59&amp;$B59&amp;$C59,comm_eff!$O$3:$O$26,0),MATCH(N$2,comm_eff!$D$2:$M$2,0))</f>
        <v>0.81904814820316696</v>
      </c>
      <c r="O59" s="66">
        <f>INDEX(comm_eff!$D$3:$M$26,MATCH($A59&amp;$B59&amp;$C59,comm_eff!$O$3:$O$26,0),MATCH(O$2,comm_eff!$D$2:$M$2,0))</f>
        <v>0.81904814820316696</v>
      </c>
    </row>
    <row r="60" spans="1:15" x14ac:dyDescent="0.2">
      <c r="A60" t="s">
        <v>56</v>
      </c>
      <c r="B60" t="s">
        <v>7</v>
      </c>
      <c r="C60" t="s">
        <v>39</v>
      </c>
      <c r="D60" t="s">
        <v>121</v>
      </c>
      <c r="E60" s="65">
        <f t="shared" si="1"/>
        <v>0.96304179351759167</v>
      </c>
      <c r="F60" s="66">
        <f>INDEX(comm_eff!$D$3:$M$26,MATCH($A60&amp;$B60&amp;$C60,comm_eff!$O$3:$O$26,0),MATCH(F$2,comm_eff!$D$2:$M$2,0))</f>
        <v>0.96304179351759167</v>
      </c>
      <c r="G60" s="66">
        <f>INDEX(comm_eff!$D$3:$M$26,MATCH($A60&amp;$B60&amp;$C60,comm_eff!$O$3:$O$26,0),MATCH(G$2,comm_eff!$D$2:$M$2,0))</f>
        <v>0.96304179351759167</v>
      </c>
      <c r="H60" s="66">
        <f>INDEX(comm_eff!$D$3:$M$26,MATCH($A60&amp;$B60&amp;$C60,comm_eff!$O$3:$O$26,0),MATCH(H$2,comm_eff!$D$2:$M$2,0))</f>
        <v>0.96304179351759167</v>
      </c>
      <c r="I60" s="66">
        <f>INDEX(comm_eff!$D$3:$M$26,MATCH($A60&amp;$B60&amp;$C60,comm_eff!$O$3:$O$26,0),MATCH(I$2,comm_eff!$D$2:$M$2,0))</f>
        <v>1.1507460998837373</v>
      </c>
      <c r="J60" s="66">
        <f>INDEX(comm_eff!$D$3:$M$26,MATCH($A60&amp;$B60&amp;$C60,comm_eff!$O$3:$O$26,0),MATCH(J$2,comm_eff!$D$2:$M$2,0))</f>
        <v>1.5005153698188218</v>
      </c>
      <c r="K60" s="66">
        <f>INDEX(comm_eff!$D$3:$M$26,MATCH($A60&amp;$B60&amp;$C60,comm_eff!$O$3:$O$26,0),MATCH(K$2,comm_eff!$D$2:$M$2,0))</f>
        <v>1.7534076624425978</v>
      </c>
      <c r="L60" s="66">
        <f>INDEX(comm_eff!$D$3:$M$26,MATCH($A60&amp;$B60&amp;$C60,comm_eff!$O$3:$O$26,0),MATCH(L$2,comm_eff!$D$2:$M$2,0))</f>
        <v>1.9374431591030892</v>
      </c>
      <c r="M60" s="66">
        <f>INDEX(comm_eff!$D$3:$M$26,MATCH($A60&amp;$B60&amp;$C60,comm_eff!$O$3:$O$26,0),MATCH(M$2,comm_eff!$D$2:$M$2,0))</f>
        <v>2.1175775203712273</v>
      </c>
      <c r="N60" s="66">
        <f>INDEX(comm_eff!$D$3:$M$26,MATCH($A60&amp;$B60&amp;$C60,comm_eff!$O$3:$O$26,0),MATCH(N$2,comm_eff!$D$2:$M$2,0))</f>
        <v>2.2415897250154719</v>
      </c>
      <c r="O60" s="66">
        <f>INDEX(comm_eff!$D$3:$M$26,MATCH($A60&amp;$B60&amp;$C60,comm_eff!$O$3:$O$26,0),MATCH(O$2,comm_eff!$D$2:$M$2,0))</f>
        <v>2.2415897250154719</v>
      </c>
    </row>
    <row r="61" spans="1:15" x14ac:dyDescent="0.2">
      <c r="A61" t="s">
        <v>56</v>
      </c>
      <c r="B61" t="s">
        <v>7</v>
      </c>
      <c r="C61" t="s">
        <v>40</v>
      </c>
      <c r="D61" t="s">
        <v>121</v>
      </c>
      <c r="E61" s="65">
        <f t="shared" si="1"/>
        <v>1.1321748772835736</v>
      </c>
      <c r="F61" s="66">
        <f>INDEX(comm_eff!$D$3:$M$26,MATCH($A61&amp;$B61&amp;$C61,comm_eff!$O$3:$O$26,0),MATCH(F$2,comm_eff!$D$2:$M$2,0))</f>
        <v>1.1321748772835736</v>
      </c>
      <c r="G61" s="66">
        <f>INDEX(comm_eff!$D$3:$M$26,MATCH($A61&amp;$B61&amp;$C61,comm_eff!$O$3:$O$26,0),MATCH(G$2,comm_eff!$D$2:$M$2,0))</f>
        <v>1.1321748772835736</v>
      </c>
      <c r="H61" s="66">
        <f>INDEX(comm_eff!$D$3:$M$26,MATCH($A61&amp;$B61&amp;$C61,comm_eff!$O$3:$O$26,0),MATCH(H$2,comm_eff!$D$2:$M$2,0))</f>
        <v>1.1321748772835736</v>
      </c>
      <c r="I61" s="66">
        <f>INDEX(comm_eff!$D$3:$M$26,MATCH($A61&amp;$B61&amp;$C61,comm_eff!$O$3:$O$26,0),MATCH(I$2,comm_eff!$D$2:$M$2,0))</f>
        <v>1.3198791836497192</v>
      </c>
      <c r="J61" s="66">
        <f>INDEX(comm_eff!$D$3:$M$26,MATCH($A61&amp;$B61&amp;$C61,comm_eff!$O$3:$O$26,0),MATCH(J$2,comm_eff!$D$2:$M$2,0))</f>
        <v>1.6696484535848022</v>
      </c>
      <c r="K61" s="66">
        <f>INDEX(comm_eff!$D$3:$M$26,MATCH($A61&amp;$B61&amp;$C61,comm_eff!$O$3:$O$26,0),MATCH(K$2,comm_eff!$D$2:$M$2,0))</f>
        <v>1.9225407462085844</v>
      </c>
      <c r="L61" s="66">
        <f>INDEX(comm_eff!$D$3:$M$26,MATCH($A61&amp;$B61&amp;$C61,comm_eff!$O$3:$O$26,0),MATCH(L$2,comm_eff!$D$2:$M$2,0))</f>
        <v>2.106576242869076</v>
      </c>
      <c r="M61" s="66">
        <f>INDEX(comm_eff!$D$3:$M$26,MATCH($A61&amp;$B61&amp;$C61,comm_eff!$O$3:$O$26,0),MATCH(M$2,comm_eff!$D$2:$M$2,0))</f>
        <v>2.286710604137197</v>
      </c>
      <c r="N61" s="66">
        <f>INDEX(comm_eff!$D$3:$M$26,MATCH($A61&amp;$B61&amp;$C61,comm_eff!$O$3:$O$26,0),MATCH(N$2,comm_eff!$D$2:$M$2,0))</f>
        <v>2.4107228087814421</v>
      </c>
      <c r="O61" s="66">
        <f>INDEX(comm_eff!$D$3:$M$26,MATCH($A61&amp;$B61&amp;$C61,comm_eff!$O$3:$O$26,0),MATCH(O$2,comm_eff!$D$2:$M$2,0))</f>
        <v>2.4107228087814421</v>
      </c>
    </row>
    <row r="62" spans="1:15" x14ac:dyDescent="0.2">
      <c r="A62" t="s">
        <v>57</v>
      </c>
      <c r="B62" t="s">
        <v>31</v>
      </c>
      <c r="C62" t="s">
        <v>44</v>
      </c>
      <c r="D62" t="s">
        <v>120</v>
      </c>
      <c r="E62" s="65">
        <f t="shared" si="1"/>
        <v>0.32</v>
      </c>
      <c r="F62" s="66">
        <f>INDEX(comm_eff!$D$3:$M$26,MATCH($A62&amp;$B62&amp;$C62,comm_eff!$O$3:$O$26,0),MATCH(F$2,comm_eff!$D$2:$M$2,0))</f>
        <v>0.32</v>
      </c>
      <c r="G62" s="66">
        <f>INDEX(comm_eff!$D$3:$M$26,MATCH($A62&amp;$B62&amp;$C62,comm_eff!$O$3:$O$26,0),MATCH(G$2,comm_eff!$D$2:$M$2,0))</f>
        <v>0.32</v>
      </c>
      <c r="H62" s="66">
        <f>INDEX(comm_eff!$D$3:$M$26,MATCH($A62&amp;$B62&amp;$C62,comm_eff!$O$3:$O$26,0),MATCH(H$2,comm_eff!$D$2:$M$2,0))</f>
        <v>0.32</v>
      </c>
      <c r="I62" s="66">
        <f>INDEX(comm_eff!$D$3:$M$26,MATCH($A62&amp;$B62&amp;$C62,comm_eff!$O$3:$O$26,0),MATCH(I$2,comm_eff!$D$2:$M$2,0))</f>
        <v>0.32</v>
      </c>
      <c r="J62" s="66">
        <f>INDEX(comm_eff!$D$3:$M$26,MATCH($A62&amp;$B62&amp;$C62,comm_eff!$O$3:$O$26,0),MATCH(J$2,comm_eff!$D$2:$M$2,0))</f>
        <v>0.32</v>
      </c>
      <c r="K62" s="66">
        <f>INDEX(comm_eff!$D$3:$M$26,MATCH($A62&amp;$B62&amp;$C62,comm_eff!$O$3:$O$26,0),MATCH(K$2,comm_eff!$D$2:$M$2,0))</f>
        <v>0.32</v>
      </c>
      <c r="L62" s="66">
        <f>INDEX(comm_eff!$D$3:$M$26,MATCH($A62&amp;$B62&amp;$C62,comm_eff!$O$3:$O$26,0),MATCH(L$2,comm_eff!$D$2:$M$2,0))</f>
        <v>0.32</v>
      </c>
      <c r="M62" s="66">
        <f>INDEX(comm_eff!$D$3:$M$26,MATCH($A62&amp;$B62&amp;$C62,comm_eff!$O$3:$O$26,0),MATCH(M$2,comm_eff!$D$2:$M$2,0))</f>
        <v>0.32</v>
      </c>
      <c r="N62" s="66">
        <f>INDEX(comm_eff!$D$3:$M$26,MATCH($A62&amp;$B62&amp;$C62,comm_eff!$O$3:$O$26,0),MATCH(N$2,comm_eff!$D$2:$M$2,0))</f>
        <v>0.32</v>
      </c>
      <c r="O62" s="66">
        <f>INDEX(comm_eff!$D$3:$M$26,MATCH($A62&amp;$B62&amp;$C62,comm_eff!$O$3:$O$26,0),MATCH(O$2,comm_eff!$D$2:$M$2,0))</f>
        <v>0.32</v>
      </c>
    </row>
    <row r="63" spans="1:15" x14ac:dyDescent="0.2">
      <c r="A63" t="s">
        <v>57</v>
      </c>
      <c r="B63" t="s">
        <v>31</v>
      </c>
      <c r="C63" t="s">
        <v>45</v>
      </c>
      <c r="D63" t="s">
        <v>120</v>
      </c>
      <c r="E63" s="65">
        <f t="shared" si="1"/>
        <v>0.32</v>
      </c>
      <c r="F63" s="66">
        <f>INDEX(comm_eff!$D$3:$M$26,MATCH($A63&amp;$B63&amp;$C63,comm_eff!$O$3:$O$26,0),MATCH(F$2,comm_eff!$D$2:$M$2,0))</f>
        <v>0.32</v>
      </c>
      <c r="G63" s="66">
        <f>INDEX(comm_eff!$D$3:$M$26,MATCH($A63&amp;$B63&amp;$C63,comm_eff!$O$3:$O$26,0),MATCH(G$2,comm_eff!$D$2:$M$2,0))</f>
        <v>0.32</v>
      </c>
      <c r="H63" s="66">
        <f>INDEX(comm_eff!$D$3:$M$26,MATCH($A63&amp;$B63&amp;$C63,comm_eff!$O$3:$O$26,0),MATCH(H$2,comm_eff!$D$2:$M$2,0))</f>
        <v>0.32</v>
      </c>
      <c r="I63" s="66">
        <f>INDEX(comm_eff!$D$3:$M$26,MATCH($A63&amp;$B63&amp;$C63,comm_eff!$O$3:$O$26,0),MATCH(I$2,comm_eff!$D$2:$M$2,0))</f>
        <v>0.32</v>
      </c>
      <c r="J63" s="66">
        <f>INDEX(comm_eff!$D$3:$M$26,MATCH($A63&amp;$B63&amp;$C63,comm_eff!$O$3:$O$26,0),MATCH(J$2,comm_eff!$D$2:$M$2,0))</f>
        <v>0.32</v>
      </c>
      <c r="K63" s="66">
        <f>INDEX(comm_eff!$D$3:$M$26,MATCH($A63&amp;$B63&amp;$C63,comm_eff!$O$3:$O$26,0),MATCH(K$2,comm_eff!$D$2:$M$2,0))</f>
        <v>0.32</v>
      </c>
      <c r="L63" s="66">
        <f>INDEX(comm_eff!$D$3:$M$26,MATCH($A63&amp;$B63&amp;$C63,comm_eff!$O$3:$O$26,0),MATCH(L$2,comm_eff!$D$2:$M$2,0))</f>
        <v>0.32</v>
      </c>
      <c r="M63" s="66">
        <f>INDEX(comm_eff!$D$3:$M$26,MATCH($A63&amp;$B63&amp;$C63,comm_eff!$O$3:$O$26,0),MATCH(M$2,comm_eff!$D$2:$M$2,0))</f>
        <v>0.32</v>
      </c>
      <c r="N63" s="66">
        <f>INDEX(comm_eff!$D$3:$M$26,MATCH($A63&amp;$B63&amp;$C63,comm_eff!$O$3:$O$26,0),MATCH(N$2,comm_eff!$D$2:$M$2,0))</f>
        <v>0.32</v>
      </c>
      <c r="O63" s="66">
        <f>INDEX(comm_eff!$D$3:$M$26,MATCH($A63&amp;$B63&amp;$C63,comm_eff!$O$3:$O$26,0),MATCH(O$2,comm_eff!$D$2:$M$2,0))</f>
        <v>0.32</v>
      </c>
    </row>
    <row r="64" spans="1:15" x14ac:dyDescent="0.2">
      <c r="A64" t="s">
        <v>57</v>
      </c>
      <c r="B64" t="s">
        <v>7</v>
      </c>
      <c r="C64" t="s">
        <v>46</v>
      </c>
      <c r="D64" t="s">
        <v>121</v>
      </c>
      <c r="E64" s="65">
        <f t="shared" si="1"/>
        <v>0.69077982286194906</v>
      </c>
      <c r="F64" s="66">
        <f>INDEX(comm_eff!$D$3:$M$26,MATCH($A64&amp;$B64&amp;$C64,comm_eff!$O$3:$O$26,0),MATCH(F$2,comm_eff!$D$2:$M$2,0))</f>
        <v>0.69077982286194906</v>
      </c>
      <c r="G64" s="66">
        <f>INDEX(comm_eff!$D$3:$M$26,MATCH($A64&amp;$B64&amp;$C64,comm_eff!$O$3:$O$26,0),MATCH(G$2,comm_eff!$D$2:$M$2,0))</f>
        <v>0.69077982286194906</v>
      </c>
      <c r="H64" s="66">
        <f>INDEX(comm_eff!$D$3:$M$26,MATCH($A64&amp;$B64&amp;$C64,comm_eff!$O$3:$O$26,0),MATCH(H$2,comm_eff!$D$2:$M$2,0))</f>
        <v>0.69077982286194906</v>
      </c>
      <c r="I64" s="66">
        <f>INDEX(comm_eff!$D$3:$M$26,MATCH($A64&amp;$B64&amp;$C64,comm_eff!$O$3:$O$26,0),MATCH(I$2,comm_eff!$D$2:$M$2,0))</f>
        <v>0.69431653836021201</v>
      </c>
      <c r="J64" s="66">
        <f>INDEX(comm_eff!$D$3:$M$26,MATCH($A64&amp;$B64&amp;$C64,comm_eff!$O$3:$O$26,0),MATCH(J$2,comm_eff!$D$2:$M$2,0))</f>
        <v>0.69651798492260197</v>
      </c>
      <c r="K64" s="66">
        <f>INDEX(comm_eff!$D$3:$M$26,MATCH($A64&amp;$B64&amp;$C64,comm_eff!$O$3:$O$26,0),MATCH(K$2,comm_eff!$D$2:$M$2,0))</f>
        <v>0.69786625672374603</v>
      </c>
      <c r="L64" s="66">
        <f>INDEX(comm_eff!$D$3:$M$26,MATCH($A64&amp;$B64&amp;$C64,comm_eff!$O$3:$O$26,0),MATCH(L$2,comm_eff!$D$2:$M$2,0))</f>
        <v>0.69868437720682597</v>
      </c>
      <c r="M64" s="66">
        <f>INDEX(comm_eff!$D$3:$M$26,MATCH($A64&amp;$B64&amp;$C64,comm_eff!$O$3:$O$26,0),MATCH(M$2,comm_eff!$D$2:$M$2,0))</f>
        <v>0.69919014183422501</v>
      </c>
      <c r="N64" s="66">
        <f>INDEX(comm_eff!$D$3:$M$26,MATCH($A64&amp;$B64&amp;$C64,comm_eff!$O$3:$O$26,0),MATCH(N$2,comm_eff!$D$2:$M$2,0))</f>
        <v>0.69950192680165002</v>
      </c>
      <c r="O64" s="66">
        <f>INDEX(comm_eff!$D$3:$M$26,MATCH($A64&amp;$B64&amp;$C64,comm_eff!$O$3:$O$26,0),MATCH(O$2,comm_eff!$D$2:$M$2,0))</f>
        <v>0.69950192680165002</v>
      </c>
    </row>
    <row r="65" spans="1:15" x14ac:dyDescent="0.2">
      <c r="A65" t="s">
        <v>57</v>
      </c>
      <c r="B65" t="s">
        <v>7</v>
      </c>
      <c r="C65" t="s">
        <v>47</v>
      </c>
      <c r="D65" t="s">
        <v>121</v>
      </c>
      <c r="E65" s="65">
        <f t="shared" si="1"/>
        <v>0.69077982286194906</v>
      </c>
      <c r="F65" s="66">
        <f>INDEX(comm_eff!$D$3:$M$26,MATCH($A65&amp;$B65&amp;$C65,comm_eff!$O$3:$O$26,0),MATCH(F$2,comm_eff!$D$2:$M$2,0))</f>
        <v>0.69077982286194906</v>
      </c>
      <c r="G65" s="66">
        <f>INDEX(comm_eff!$D$3:$M$26,MATCH($A65&amp;$B65&amp;$C65,comm_eff!$O$3:$O$26,0),MATCH(G$2,comm_eff!$D$2:$M$2,0))</f>
        <v>0.69077982286194906</v>
      </c>
      <c r="H65" s="66">
        <f>INDEX(comm_eff!$D$3:$M$26,MATCH($A65&amp;$B65&amp;$C65,comm_eff!$O$3:$O$26,0),MATCH(H$2,comm_eff!$D$2:$M$2,0))</f>
        <v>0.69077982286194906</v>
      </c>
      <c r="I65" s="66">
        <f>INDEX(comm_eff!$D$3:$M$26,MATCH($A65&amp;$B65&amp;$C65,comm_eff!$O$3:$O$26,0),MATCH(I$2,comm_eff!$D$2:$M$2,0))</f>
        <v>0.69431653836021201</v>
      </c>
      <c r="J65" s="66">
        <f>INDEX(comm_eff!$D$3:$M$26,MATCH($A65&amp;$B65&amp;$C65,comm_eff!$O$3:$O$26,0),MATCH(J$2,comm_eff!$D$2:$M$2,0))</f>
        <v>0.69651798492260197</v>
      </c>
      <c r="K65" s="66">
        <f>INDEX(comm_eff!$D$3:$M$26,MATCH($A65&amp;$B65&amp;$C65,comm_eff!$O$3:$O$26,0),MATCH(K$2,comm_eff!$D$2:$M$2,0))</f>
        <v>0.69786625672374603</v>
      </c>
      <c r="L65" s="66">
        <f>INDEX(comm_eff!$D$3:$M$26,MATCH($A65&amp;$B65&amp;$C65,comm_eff!$O$3:$O$26,0),MATCH(L$2,comm_eff!$D$2:$M$2,0))</f>
        <v>0.69868437720682597</v>
      </c>
      <c r="M65" s="66">
        <f>INDEX(comm_eff!$D$3:$M$26,MATCH($A65&amp;$B65&amp;$C65,comm_eff!$O$3:$O$26,0),MATCH(M$2,comm_eff!$D$2:$M$2,0))</f>
        <v>0.69919014183422501</v>
      </c>
      <c r="N65" s="66">
        <f>INDEX(comm_eff!$D$3:$M$26,MATCH($A65&amp;$B65&amp;$C65,comm_eff!$O$3:$O$26,0),MATCH(N$2,comm_eff!$D$2:$M$2,0))</f>
        <v>0.69950192680165002</v>
      </c>
      <c r="O65" s="66">
        <f>INDEX(comm_eff!$D$3:$M$26,MATCH($A65&amp;$B65&amp;$C65,comm_eff!$O$3:$O$26,0),MATCH(O$2,comm_eff!$D$2:$M$2,0))</f>
        <v>0.69950192680165002</v>
      </c>
    </row>
    <row r="66" spans="1:15" x14ac:dyDescent="0.2">
      <c r="A66" t="s">
        <v>58</v>
      </c>
      <c r="B66" t="s">
        <v>7</v>
      </c>
      <c r="C66" t="s">
        <v>29</v>
      </c>
      <c r="D66" t="s">
        <v>121</v>
      </c>
      <c r="E66" s="65">
        <f t="shared" si="1"/>
        <v>11.555555555555555</v>
      </c>
      <c r="F66" s="66">
        <f>INDEX(comm_eff!$D$3:$M$26,MATCH($A66&amp;$B66&amp;$C66,comm_eff!$O$3:$O$26,0),MATCH(F$2,comm_eff!$D$2:$M$2,0))</f>
        <v>11.555555555555555</v>
      </c>
      <c r="G66" s="66">
        <f>INDEX(comm_eff!$D$3:$M$26,MATCH($A66&amp;$B66&amp;$C66,comm_eff!$O$3:$O$26,0),MATCH(G$2,comm_eff!$D$2:$M$2,0))</f>
        <v>11.555555555555555</v>
      </c>
      <c r="H66" s="66">
        <f>INDEX(comm_eff!$D$3:$M$26,MATCH($A66&amp;$B66&amp;$C66,comm_eff!$O$3:$O$26,0),MATCH(H$2,comm_eff!$D$2:$M$2,0))</f>
        <v>11.555555555555555</v>
      </c>
      <c r="I66" s="66">
        <f>INDEX(comm_eff!$D$3:$M$26,MATCH($A66&amp;$B66&amp;$C66,comm_eff!$O$3:$O$26,0),MATCH(I$2,comm_eff!$D$2:$M$2,0))</f>
        <v>11.555555555555555</v>
      </c>
      <c r="J66" s="66">
        <f>INDEX(comm_eff!$D$3:$M$26,MATCH($A66&amp;$B66&amp;$C66,comm_eff!$O$3:$O$26,0),MATCH(J$2,comm_eff!$D$2:$M$2,0))</f>
        <v>11.555555555555555</v>
      </c>
      <c r="K66" s="66">
        <f>INDEX(comm_eff!$D$3:$M$26,MATCH($A66&amp;$B66&amp;$C66,comm_eff!$O$3:$O$26,0),MATCH(K$2,comm_eff!$D$2:$M$2,0))</f>
        <v>11.555555555555555</v>
      </c>
      <c r="L66" s="66">
        <f>INDEX(comm_eff!$D$3:$M$26,MATCH($A66&amp;$B66&amp;$C66,comm_eff!$O$3:$O$26,0),MATCH(L$2,comm_eff!$D$2:$M$2,0))</f>
        <v>11.555555555555555</v>
      </c>
      <c r="M66" s="66">
        <f>INDEX(comm_eff!$D$3:$M$26,MATCH($A66&amp;$B66&amp;$C66,comm_eff!$O$3:$O$26,0),MATCH(M$2,comm_eff!$D$2:$M$2,0))</f>
        <v>11.555555555555555</v>
      </c>
      <c r="N66" s="66">
        <f>INDEX(comm_eff!$D$3:$M$26,MATCH($A66&amp;$B66&amp;$C66,comm_eff!$O$3:$O$26,0),MATCH(N$2,comm_eff!$D$2:$M$2,0))</f>
        <v>11.555555555555555</v>
      </c>
      <c r="O66" s="66">
        <f>INDEX(comm_eff!$D$3:$M$26,MATCH($A66&amp;$B66&amp;$C66,comm_eff!$O$3:$O$26,0),MATCH(O$2,comm_eff!$D$2:$M$2,0))</f>
        <v>11.555555555555555</v>
      </c>
    </row>
    <row r="67" spans="1:15" x14ac:dyDescent="0.2">
      <c r="A67" t="s">
        <v>58</v>
      </c>
      <c r="B67" t="s">
        <v>7</v>
      </c>
      <c r="C67" t="s">
        <v>28</v>
      </c>
      <c r="D67" t="s">
        <v>121</v>
      </c>
      <c r="E67" s="65">
        <f t="shared" si="1"/>
        <v>24.888888888888889</v>
      </c>
      <c r="F67" s="66">
        <f>INDEX(comm_eff!$D$3:$M$26,MATCH($A67&amp;$B67&amp;$C67,comm_eff!$O$3:$O$26,0),MATCH(F$2,comm_eff!$D$2:$M$2,0))</f>
        <v>24.888888888888889</v>
      </c>
      <c r="G67" s="66">
        <f>INDEX(comm_eff!$D$3:$M$26,MATCH($A67&amp;$B67&amp;$C67,comm_eff!$O$3:$O$26,0),MATCH(G$2,comm_eff!$D$2:$M$2,0))</f>
        <v>24.888888888888889</v>
      </c>
      <c r="H67" s="66">
        <f>INDEX(comm_eff!$D$3:$M$26,MATCH($A67&amp;$B67&amp;$C67,comm_eff!$O$3:$O$26,0),MATCH(H$2,comm_eff!$D$2:$M$2,0))</f>
        <v>24.888888888888889</v>
      </c>
      <c r="I67" s="66">
        <f>INDEX(comm_eff!$D$3:$M$26,MATCH($A67&amp;$B67&amp;$C67,comm_eff!$O$3:$O$26,0),MATCH(I$2,comm_eff!$D$2:$M$2,0))</f>
        <v>24.888888888888889</v>
      </c>
      <c r="J67" s="66">
        <f>INDEX(comm_eff!$D$3:$M$26,MATCH($A67&amp;$B67&amp;$C67,comm_eff!$O$3:$O$26,0),MATCH(J$2,comm_eff!$D$2:$M$2,0))</f>
        <v>24.888888888888889</v>
      </c>
      <c r="K67" s="66">
        <f>INDEX(comm_eff!$D$3:$M$26,MATCH($A67&amp;$B67&amp;$C67,comm_eff!$O$3:$O$26,0),MATCH(K$2,comm_eff!$D$2:$M$2,0))</f>
        <v>24.888888888888889</v>
      </c>
      <c r="L67" s="66">
        <f>INDEX(comm_eff!$D$3:$M$26,MATCH($A67&amp;$B67&amp;$C67,comm_eff!$O$3:$O$26,0),MATCH(L$2,comm_eff!$D$2:$M$2,0))</f>
        <v>24.888888888888889</v>
      </c>
      <c r="M67" s="66">
        <f>INDEX(comm_eff!$D$3:$M$26,MATCH($A67&amp;$B67&amp;$C67,comm_eff!$O$3:$O$26,0),MATCH(M$2,comm_eff!$D$2:$M$2,0))</f>
        <v>24.888888888888889</v>
      </c>
      <c r="N67" s="66">
        <f>INDEX(comm_eff!$D$3:$M$26,MATCH($A67&amp;$B67&amp;$C67,comm_eff!$O$3:$O$26,0),MATCH(N$2,comm_eff!$D$2:$M$2,0))</f>
        <v>24.888888888888889</v>
      </c>
      <c r="O67" s="66">
        <f>INDEX(comm_eff!$D$3:$M$26,MATCH($A67&amp;$B67&amp;$C67,comm_eff!$O$3:$O$26,0),MATCH(O$2,comm_eff!$D$2:$M$2,0))</f>
        <v>24.888888888888889</v>
      </c>
    </row>
    <row r="68" spans="1:15" x14ac:dyDescent="0.2">
      <c r="A68" t="s">
        <v>58</v>
      </c>
      <c r="B68" t="s">
        <v>7</v>
      </c>
      <c r="C68" t="s">
        <v>30</v>
      </c>
      <c r="D68" t="s">
        <v>121</v>
      </c>
      <c r="E68" s="65">
        <f t="shared" si="1"/>
        <v>40.69312685146916</v>
      </c>
      <c r="F68" s="66">
        <f>INDEX(comm_eff!$D$3:$M$26,MATCH($A68&amp;$B68&amp;$C68,comm_eff!$O$3:$O$26,0),MATCH(F$2,comm_eff!$D$2:$M$2,0))</f>
        <v>40.69312685146916</v>
      </c>
      <c r="G68" s="66">
        <f>INDEX(comm_eff!$D$3:$M$26,MATCH($A68&amp;$B68&amp;$C68,comm_eff!$O$3:$O$26,0),MATCH(G$2,comm_eff!$D$2:$M$2,0))</f>
        <v>40.69312685146916</v>
      </c>
      <c r="H68" s="66">
        <f>INDEX(comm_eff!$D$3:$M$26,MATCH($A68&amp;$B68&amp;$C68,comm_eff!$O$3:$O$26,0),MATCH(H$2,comm_eff!$D$2:$M$2,0))</f>
        <v>40.69312685146916</v>
      </c>
      <c r="I68" s="66">
        <f>INDEX(comm_eff!$D$3:$M$26,MATCH($A68&amp;$B68&amp;$C68,comm_eff!$O$3:$O$26,0),MATCH(I$2,comm_eff!$D$2:$M$2,0))</f>
        <v>43.716368449841944</v>
      </c>
      <c r="J68" s="66">
        <f>INDEX(comm_eff!$D$3:$M$26,MATCH($A68&amp;$B68&amp;$C68,comm_eff!$O$3:$O$26,0),MATCH(J$2,comm_eff!$D$2:$M$2,0))</f>
        <v>47.128259481631943</v>
      </c>
      <c r="K68" s="66">
        <f>INDEX(comm_eff!$D$3:$M$26,MATCH($A68&amp;$B68&amp;$C68,comm_eff!$O$3:$O$26,0),MATCH(K$2,comm_eff!$D$2:$M$2,0))</f>
        <v>55.066901328082224</v>
      </c>
      <c r="L68" s="66">
        <f>INDEX(comm_eff!$D$3:$M$26,MATCH($A68&amp;$B68&amp;$C68,comm_eff!$O$3:$O$26,0),MATCH(L$2,comm_eff!$D$2:$M$2,0))</f>
        <v>58.468306798083894</v>
      </c>
      <c r="M68" s="66">
        <f>INDEX(comm_eff!$D$3:$M$26,MATCH($A68&amp;$B68&amp;$C68,comm_eff!$O$3:$O$26,0),MATCH(M$2,comm_eff!$D$2:$M$2,0))</f>
        <v>61.16707997467028</v>
      </c>
      <c r="N68" s="66">
        <f>INDEX(comm_eff!$D$3:$M$26,MATCH($A68&amp;$B68&amp;$C68,comm_eff!$O$3:$O$26,0),MATCH(N$2,comm_eff!$D$2:$M$2,0))</f>
        <v>62.483106308812225</v>
      </c>
      <c r="O68" s="66">
        <f>INDEX(comm_eff!$D$3:$M$26,MATCH($A68&amp;$B68&amp;$C68,comm_eff!$O$3:$O$26,0),MATCH(O$2,comm_eff!$D$2:$M$2,0))</f>
        <v>62.483106308812225</v>
      </c>
    </row>
    <row r="69" spans="1:15" x14ac:dyDescent="0.2">
      <c r="A69" t="s">
        <v>59</v>
      </c>
      <c r="B69" t="s">
        <v>7</v>
      </c>
      <c r="C69" t="s">
        <v>60</v>
      </c>
      <c r="D69" t="s">
        <v>121</v>
      </c>
      <c r="E69" s="65">
        <f t="shared" ref="E69:E75" si="2">F69</f>
        <v>3.4</v>
      </c>
      <c r="F69" s="66">
        <f>INDEX(comm_eff!$D$3:$M$26,MATCH($A69&amp;$B69&amp;$C69,comm_eff!$O$3:$O$26,0),MATCH(F$2,comm_eff!$D$2:$M$2,0))</f>
        <v>3.4</v>
      </c>
      <c r="G69" s="66">
        <f>INDEX(comm_eff!$D$3:$M$26,MATCH($A69&amp;$B69&amp;$C69,comm_eff!$O$3:$O$26,0),MATCH(G$2,comm_eff!$D$2:$M$2,0))</f>
        <v>3.4</v>
      </c>
      <c r="H69" s="66">
        <f>INDEX(comm_eff!$D$3:$M$26,MATCH($A69&amp;$B69&amp;$C69,comm_eff!$O$3:$O$26,0),MATCH(H$2,comm_eff!$D$2:$M$2,0))</f>
        <v>3.4</v>
      </c>
      <c r="I69" s="66">
        <f>INDEX(comm_eff!$D$3:$M$26,MATCH($A69&amp;$B69&amp;$C69,comm_eff!$O$3:$O$26,0),MATCH(I$2,comm_eff!$D$2:$M$2,0))</f>
        <v>3.44560214651352</v>
      </c>
      <c r="J69" s="66">
        <f>INDEX(comm_eff!$D$3:$M$26,MATCH($A69&amp;$B69&amp;$C69,comm_eff!$O$3:$O$26,0),MATCH(J$2,comm_eff!$D$2:$M$2,0))</f>
        <v>3.5056306569930999</v>
      </c>
      <c r="K69" s="66">
        <f>INDEX(comm_eff!$D$3:$M$26,MATCH($A69&amp;$B69&amp;$C69,comm_eff!$O$3:$O$26,0),MATCH(K$2,comm_eff!$D$2:$M$2,0))</f>
        <v>3.6182943565948</v>
      </c>
      <c r="L69" s="66">
        <f>INDEX(comm_eff!$D$3:$M$26,MATCH($A69&amp;$B69&amp;$C69,comm_eff!$O$3:$O$26,0),MATCH(L$2,comm_eff!$D$2:$M$2,0))</f>
        <v>3.6777255050459101</v>
      </c>
      <c r="M69" s="66">
        <f>INDEX(comm_eff!$D$3:$M$26,MATCH($A69&amp;$B69&amp;$C69,comm_eff!$O$3:$O$26,0),MATCH(M$2,comm_eff!$D$2:$M$2,0))</f>
        <v>3.7092083003955501</v>
      </c>
      <c r="N69" s="66">
        <f>INDEX(comm_eff!$D$3:$M$26,MATCH($A69&amp;$B69&amp;$C69,comm_eff!$O$3:$O$26,0),MATCH(N$2,comm_eff!$D$2:$M$2,0))</f>
        <v>3.7256219516437898</v>
      </c>
      <c r="O69" s="66">
        <f>INDEX(comm_eff!$D$3:$M$26,MATCH($A69&amp;$B69&amp;$C69,comm_eff!$O$3:$O$26,0),MATCH(O$2,comm_eff!$D$2:$M$2,0))</f>
        <v>3.7256219516437898</v>
      </c>
    </row>
    <row r="70" spans="1:15" x14ac:dyDescent="0.2">
      <c r="A70" t="s">
        <v>59</v>
      </c>
      <c r="B70" t="s">
        <v>7</v>
      </c>
      <c r="C70" t="s">
        <v>61</v>
      </c>
      <c r="D70" t="s">
        <v>121</v>
      </c>
      <c r="E70" s="65">
        <f t="shared" si="2"/>
        <v>3.4</v>
      </c>
      <c r="F70" s="66">
        <f>INDEX(comm_eff!$D$3:$M$26,MATCH($A70&amp;$B70&amp;$C70,comm_eff!$O$3:$O$26,0),MATCH(F$2,comm_eff!$D$2:$M$2,0))</f>
        <v>3.4</v>
      </c>
      <c r="G70" s="66">
        <f>INDEX(comm_eff!$D$3:$M$26,MATCH($A70&amp;$B70&amp;$C70,comm_eff!$O$3:$O$26,0),MATCH(G$2,comm_eff!$D$2:$M$2,0))</f>
        <v>3.4</v>
      </c>
      <c r="H70" s="66">
        <f>INDEX(comm_eff!$D$3:$M$26,MATCH($A70&amp;$B70&amp;$C70,comm_eff!$O$3:$O$26,0),MATCH(H$2,comm_eff!$D$2:$M$2,0))</f>
        <v>3.4</v>
      </c>
      <c r="I70" s="66">
        <f>INDEX(comm_eff!$D$3:$M$26,MATCH($A70&amp;$B70&amp;$C70,comm_eff!$O$3:$O$26,0),MATCH(I$2,comm_eff!$D$2:$M$2,0))</f>
        <v>3.44560214651352</v>
      </c>
      <c r="J70" s="66">
        <f>INDEX(comm_eff!$D$3:$M$26,MATCH($A70&amp;$B70&amp;$C70,comm_eff!$O$3:$O$26,0),MATCH(J$2,comm_eff!$D$2:$M$2,0))</f>
        <v>3.5056306569930999</v>
      </c>
      <c r="K70" s="66">
        <f>INDEX(comm_eff!$D$3:$M$26,MATCH($A70&amp;$B70&amp;$C70,comm_eff!$O$3:$O$26,0),MATCH(K$2,comm_eff!$D$2:$M$2,0))</f>
        <v>3.6182943565948</v>
      </c>
      <c r="L70" s="66">
        <f>INDEX(comm_eff!$D$3:$M$26,MATCH($A70&amp;$B70&amp;$C70,comm_eff!$O$3:$O$26,0),MATCH(L$2,comm_eff!$D$2:$M$2,0))</f>
        <v>3.6777255050459101</v>
      </c>
      <c r="M70" s="66">
        <f>INDEX(comm_eff!$D$3:$M$26,MATCH($A70&amp;$B70&amp;$C70,comm_eff!$O$3:$O$26,0),MATCH(M$2,comm_eff!$D$2:$M$2,0))</f>
        <v>3.7092083003955501</v>
      </c>
      <c r="N70" s="66">
        <f>INDEX(comm_eff!$D$3:$M$26,MATCH($A70&amp;$B70&amp;$C70,comm_eff!$O$3:$O$26,0),MATCH(N$2,comm_eff!$D$2:$M$2,0))</f>
        <v>3.7256219516437898</v>
      </c>
      <c r="O70" s="66">
        <f>INDEX(comm_eff!$D$3:$M$26,MATCH($A70&amp;$B70&amp;$C70,comm_eff!$O$3:$O$26,0),MATCH(O$2,comm_eff!$D$2:$M$2,0))</f>
        <v>3.7256219516437898</v>
      </c>
    </row>
    <row r="71" spans="1:15" x14ac:dyDescent="0.2">
      <c r="A71" t="s">
        <v>62</v>
      </c>
      <c r="B71" t="s">
        <v>7</v>
      </c>
      <c r="C71" t="s">
        <v>63</v>
      </c>
      <c r="D71" t="s">
        <v>121</v>
      </c>
      <c r="E71" s="71">
        <f t="shared" si="2"/>
        <v>1</v>
      </c>
      <c r="F71">
        <v>1</v>
      </c>
      <c r="G71" s="72">
        <v>1.3</v>
      </c>
      <c r="H71" s="72">
        <v>1.45</v>
      </c>
      <c r="I71" s="72">
        <v>1.45</v>
      </c>
      <c r="J71" s="72">
        <v>1.45</v>
      </c>
      <c r="K71" s="72">
        <v>1.45</v>
      </c>
      <c r="L71" s="72">
        <v>1.45</v>
      </c>
      <c r="M71" s="72">
        <v>1.45</v>
      </c>
      <c r="N71" s="72">
        <v>1.45</v>
      </c>
      <c r="O71" s="72">
        <v>1.45</v>
      </c>
    </row>
    <row r="72" spans="1:15" x14ac:dyDescent="0.2">
      <c r="A72" t="s">
        <v>64</v>
      </c>
      <c r="B72" t="s">
        <v>31</v>
      </c>
      <c r="C72" t="s">
        <v>31</v>
      </c>
      <c r="D72" t="s">
        <v>120</v>
      </c>
      <c r="E72" s="71">
        <f t="shared" si="2"/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2">
      <c r="A73" t="s">
        <v>64</v>
      </c>
      <c r="B73" t="s">
        <v>7</v>
      </c>
      <c r="C73" t="s">
        <v>7</v>
      </c>
      <c r="D73" t="s">
        <v>121</v>
      </c>
      <c r="E73" s="71">
        <f t="shared" si="2"/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2">
      <c r="A74" t="s">
        <v>64</v>
      </c>
      <c r="B74" t="s">
        <v>8</v>
      </c>
      <c r="C74" t="s">
        <v>8</v>
      </c>
      <c r="D74" t="s">
        <v>122</v>
      </c>
      <c r="E74" s="71">
        <f t="shared" si="2"/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2">
      <c r="A75" t="s">
        <v>65</v>
      </c>
      <c r="B75" t="s">
        <v>7</v>
      </c>
      <c r="C75" t="s">
        <v>7</v>
      </c>
      <c r="D75" t="s">
        <v>121</v>
      </c>
      <c r="E75" s="71">
        <f t="shared" si="2"/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res_cost_IRA</vt:lpstr>
      <vt:lpstr>res_cost</vt:lpstr>
      <vt:lpstr>comm_cost</vt:lpstr>
      <vt:lpstr>res_eff</vt:lpstr>
      <vt:lpstr>comm_eff</vt:lpstr>
      <vt:lpstr>A44.globaltech_cost.csv</vt:lpstr>
      <vt:lpstr>A44.globaltech_eff.csv</vt:lpstr>
    </vt:vector>
  </TitlesOfParts>
  <Company>PNNL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Ledna</dc:creator>
  <cp:lastModifiedBy>Yang Ou</cp:lastModifiedBy>
  <dcterms:created xsi:type="dcterms:W3CDTF">2016-05-12T13:05:21Z</dcterms:created>
  <dcterms:modified xsi:type="dcterms:W3CDTF">2022-10-13T16:04:06Z</dcterms:modified>
</cp:coreProperties>
</file>