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wanokeefe/Documents/CGS/ IRA/IRA_alt_refuel_prop-credit_EV_charging/"/>
    </mc:Choice>
  </mc:AlternateContent>
  <xr:revisionPtr revIDLastSave="0" documentId="13_ncr:1_{5B084267-C8B0-7A4C-8DFC-F30179B34393}" xr6:coauthVersionLast="47" xr6:coauthVersionMax="47" xr10:uidLastSave="{00000000-0000-0000-0000-000000000000}"/>
  <bookViews>
    <workbookView xWindow="380" yWindow="500" windowWidth="27420" windowHeight="15560" activeTab="1" xr2:uid="{479F1D29-5CE6-FC4C-BEC8-952EF028ED63}"/>
  </bookViews>
  <sheets>
    <sheet name="Calculations" sheetId="1" r:id="rId1"/>
    <sheet name="GCAM mat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6" i="3"/>
  <c r="B5" i="3"/>
  <c r="B7" i="1" l="1"/>
  <c r="B8" i="1" s="1"/>
  <c r="B8" i="3" s="1"/>
  <c r="B10" i="3" l="1"/>
  <c r="B9" i="3"/>
  <c r="B14" i="3" l="1"/>
  <c r="B11" i="3"/>
  <c r="B13" i="3" s="1"/>
</calcChain>
</file>

<file path=xl/sharedStrings.xml><?xml version="1.0" encoding="utf-8"?>
<sst xmlns="http://schemas.openxmlformats.org/spreadsheetml/2006/main" count="45" uniqueCount="38">
  <si>
    <t>Population</t>
  </si>
  <si>
    <t>Category</t>
  </si>
  <si>
    <t>Alternative Fuel Refueling Property Credit</t>
  </si>
  <si>
    <t xml:space="preserve">https://www.ers.usda.gov/webdocs/publications/102576/eib-230.pdf?v=4409 </t>
  </si>
  <si>
    <t>Measure</t>
  </si>
  <si>
    <t>Value</t>
  </si>
  <si>
    <t>Units</t>
  </si>
  <si>
    <t>Notes</t>
  </si>
  <si>
    <t>fcr (10 years)</t>
  </si>
  <si>
    <t>N/A</t>
  </si>
  <si>
    <t>From gcamdata:  energy.DISCOUNT_RATE_VEH + energy.DISCOUNT_RATE_VEH / (((1 + energy.DISCOUNT_RATE_VEH) ^ energy.NPER_AMORT_VEH) - 1)</t>
  </si>
  <si>
    <t>GDP deflator (2021, 1990)</t>
  </si>
  <si>
    <t xml:space="preserve">From St. Louis Federal Reserve Bank: https://fred.stlouisfed.org/series/A191RD3A086NBEA </t>
  </si>
  <si>
    <t>Average vehicle-km per year for LDVs</t>
  </si>
  <si>
    <t>vkt/veh/yr</t>
  </si>
  <si>
    <t xml:space="preserve">From gcamdata </t>
  </si>
  <si>
    <t>2030 subsidy (2021 USD / vehicle)</t>
  </si>
  <si>
    <t>2021 USD / vehicle</t>
  </si>
  <si>
    <t>2030 subsidy (1990 USD / vkt)</t>
  </si>
  <si>
    <t>1990 USD / vkt</t>
  </si>
  <si>
    <t>S_vkt = S_veh + (fcr / (v*g)), where S_vkt = dollar per vehicle-km traveled subsidy, S_veh = dollar per vehicle subsidy, fcr = fixed charge rate, v = average vkt per year, and g = GDP deflator</t>
  </si>
  <si>
    <t>2025 subsidy (2021 USD / vehicle)</t>
  </si>
  <si>
    <t>2025 subsidy (1990 USD / vkt)</t>
  </si>
  <si>
    <t>This will the same in for all states and DC in GCAM-USA, and the value of the tax-credit will be the same in GCAM-global</t>
  </si>
  <si>
    <t>* for now, I remove the tax credit after 2032</t>
  </si>
  <si>
    <t>IRA Alternative Fuel Refueling Property Credit</t>
  </si>
  <si>
    <t>This is the nationally weighted average of $1000 off of EV charging capital infrastructure cost</t>
  </si>
  <si>
    <t>Identical to the value of the subsidy in 2030</t>
  </si>
  <si>
    <t>Implemented as an add-on file that represents a subsidy (i.e., negative cost) called "IRA_alt_refuel_prop-credit_EV_charging"</t>
  </si>
  <si>
    <t>GCAM Input for "IRA_alt_refuel_prop-credit_EV_charging" in 2025</t>
  </si>
  <si>
    <t>GCAM Input for "IRA_alt_refuel_prop-credit_EV_charging" in 2030</t>
  </si>
  <si>
    <t xml:space="preserve">People living in the US </t>
  </si>
  <si>
    <t>People living in rural counties</t>
  </si>
  <si>
    <t>People living in urban, low-income counties</t>
  </si>
  <si>
    <t>People living in rural counties + people living in urban, low-income counties</t>
  </si>
  <si>
    <t>Above, expressed as percentage of US population</t>
  </si>
  <si>
    <t>Nationally weighted average if the value of the property credit, is $1,000</t>
  </si>
  <si>
    <t>Source for country population data (see page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</si>
</sst>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0"/>
    <numFmt numFmtId="165" formatCode="_(&quot;$&quot;* #,##0_);_(&quot;$&quot;* \(#,##0\);_(&quot;$&quot;* &quot;-&quot;??_);_(@_)"/>
    <numFmt numFmtId="166" formatCode="0.000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 (Body)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9" fontId="0" fillId="0" borderId="0" xfId="1" applyFont="1"/>
    <xf numFmtId="44" fontId="0" fillId="0" borderId="0" xfId="0" applyNumberFormat="1"/>
    <xf numFmtId="0" fontId="2" fillId="0" borderId="0" xfId="2"/>
    <xf numFmtId="0" fontId="4" fillId="0" borderId="0" xfId="3" applyFont="1"/>
    <xf numFmtId="0" fontId="3" fillId="0" borderId="0" xfId="3"/>
    <xf numFmtId="0" fontId="5" fillId="0" borderId="0" xfId="3" applyFont="1"/>
    <xf numFmtId="0" fontId="6" fillId="0" borderId="0" xfId="3" applyFont="1"/>
    <xf numFmtId="0" fontId="6" fillId="0" borderId="1" xfId="3" applyFont="1" applyBorder="1"/>
    <xf numFmtId="0" fontId="3" fillId="0" borderId="1" xfId="3" applyBorder="1" applyAlignment="1">
      <alignment vertical="center" wrapText="1"/>
    </xf>
    <xf numFmtId="164" fontId="3" fillId="0" borderId="1" xfId="3" applyNumberFormat="1" applyBorder="1" applyAlignment="1">
      <alignment horizontal="right" vertical="center" wrapText="1"/>
    </xf>
    <xf numFmtId="0" fontId="3" fillId="0" borderId="0" xfId="3" applyAlignment="1">
      <alignment wrapText="1"/>
    </xf>
    <xf numFmtId="1" fontId="3" fillId="0" borderId="1" xfId="3" applyNumberFormat="1" applyBorder="1" applyAlignment="1">
      <alignment horizontal="right" vertical="center" wrapText="1"/>
    </xf>
    <xf numFmtId="165" fontId="0" fillId="0" borderId="1" xfId="4" applyNumberFormat="1" applyFont="1" applyBorder="1" applyAlignment="1">
      <alignment horizontal="right" vertical="center" wrapText="1"/>
    </xf>
    <xf numFmtId="166" fontId="0" fillId="0" borderId="1" xfId="4" applyNumberFormat="1" applyFont="1" applyBorder="1" applyAlignment="1">
      <alignment horizontal="right" vertical="center" wrapText="1"/>
    </xf>
    <xf numFmtId="0" fontId="3" fillId="0" borderId="0" xfId="3" applyAlignment="1">
      <alignment horizontal="right" wrapText="1"/>
    </xf>
    <xf numFmtId="166" fontId="3" fillId="2" borderId="1" xfId="3" applyNumberFormat="1" applyFill="1" applyBorder="1" applyAlignment="1">
      <alignment horizontal="right" vertical="center" wrapText="1"/>
    </xf>
    <xf numFmtId="0" fontId="3" fillId="0" borderId="1" xfId="3" applyBorder="1" applyAlignment="1">
      <alignment wrapText="1"/>
    </xf>
    <xf numFmtId="0" fontId="7" fillId="0" borderId="0" xfId="5"/>
    <xf numFmtId="0" fontId="8" fillId="0" borderId="0" xfId="0" applyFont="1"/>
  </cellXfs>
  <cellStyles count="6">
    <cellStyle name="Currency 2" xfId="4" xr:uid="{FFBB178C-B53B-684A-AE97-74848865BD9E}"/>
    <cellStyle name="Hyperlink" xfId="2" builtinId="8"/>
    <cellStyle name="Hyperlink 2" xfId="5" xr:uid="{B8B76328-1C7B-1A43-A9B7-DB571B402678}"/>
    <cellStyle name="Normal" xfId="0" builtinId="0"/>
    <cellStyle name="Normal 2" xfId="3" xr:uid="{B51C0D2D-42F5-C44F-8F59-DA399AEB124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rs.usda.gov/webdocs/publications/102576/eib-230.pdf?v=44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C5A2-5F53-484D-8505-8AB499279809}">
  <dimension ref="A1:D10"/>
  <sheetViews>
    <sheetView workbookViewId="0">
      <selection activeCell="E9" sqref="E9"/>
    </sheetView>
  </sheetViews>
  <sheetFormatPr baseColWidth="10" defaultRowHeight="16" x14ac:dyDescent="0.2"/>
  <cols>
    <col min="1" max="1" width="63.5" customWidth="1"/>
  </cols>
  <sheetData>
    <row r="1" spans="1:4" x14ac:dyDescent="0.2">
      <c r="A1" s="19" t="s">
        <v>2</v>
      </c>
    </row>
    <row r="3" spans="1:4" x14ac:dyDescent="0.2">
      <c r="A3" t="s">
        <v>1</v>
      </c>
      <c r="B3" t="s">
        <v>0</v>
      </c>
      <c r="D3" t="s">
        <v>37</v>
      </c>
    </row>
    <row r="4" spans="1:4" x14ac:dyDescent="0.2">
      <c r="A4" t="s">
        <v>31</v>
      </c>
      <c r="B4">
        <v>331449281</v>
      </c>
      <c r="D4" s="3" t="s">
        <v>3</v>
      </c>
    </row>
    <row r="5" spans="1:4" x14ac:dyDescent="0.2">
      <c r="A5" t="s">
        <v>32</v>
      </c>
      <c r="B5">
        <v>46005635</v>
      </c>
    </row>
    <row r="6" spans="1:4" x14ac:dyDescent="0.2">
      <c r="A6" t="s">
        <v>33</v>
      </c>
      <c r="B6">
        <v>11689533</v>
      </c>
    </row>
    <row r="7" spans="1:4" x14ac:dyDescent="0.2">
      <c r="A7" t="s">
        <v>34</v>
      </c>
      <c r="B7">
        <f>B5+B6</f>
        <v>57695168</v>
      </c>
    </row>
    <row r="8" spans="1:4" x14ac:dyDescent="0.2">
      <c r="A8" t="s">
        <v>35</v>
      </c>
      <c r="B8" s="1">
        <f>B7/B4</f>
        <v>0.17406937141613532</v>
      </c>
    </row>
    <row r="10" spans="1:4" x14ac:dyDescent="0.2">
      <c r="A10" t="s">
        <v>36</v>
      </c>
      <c r="B10" s="2">
        <f>1000*B8</f>
        <v>174.06937141613531</v>
      </c>
    </row>
  </sheetData>
  <hyperlinks>
    <hyperlink ref="D4" r:id="rId1" xr:uid="{81AA7F33-44BD-5D4E-A94F-5B222D2196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D1C4-1436-D240-8EEA-E4B9DC9A0B08}">
  <dimension ref="A1:D22"/>
  <sheetViews>
    <sheetView tabSelected="1" zoomScaleNormal="100" workbookViewId="0">
      <selection activeCell="B19" sqref="B19"/>
    </sheetView>
  </sheetViews>
  <sheetFormatPr baseColWidth="10" defaultColWidth="8.83203125" defaultRowHeight="15" x14ac:dyDescent="0.2"/>
  <cols>
    <col min="1" max="1" width="51.1640625" style="5" customWidth="1"/>
    <col min="2" max="3" width="10.83203125" style="5" customWidth="1"/>
    <col min="4" max="4" width="85.83203125" style="5" customWidth="1"/>
    <col min="5" max="16384" width="8.83203125" style="5"/>
  </cols>
  <sheetData>
    <row r="1" spans="1:4" x14ac:dyDescent="0.2">
      <c r="A1" s="4" t="s">
        <v>25</v>
      </c>
    </row>
    <row r="2" spans="1:4" x14ac:dyDescent="0.2">
      <c r="A2" s="6" t="s">
        <v>28</v>
      </c>
    </row>
    <row r="3" spans="1:4" x14ac:dyDescent="0.2">
      <c r="A3" s="7"/>
    </row>
    <row r="4" spans="1:4" x14ac:dyDescent="0.2">
      <c r="A4" s="8" t="s">
        <v>4</v>
      </c>
      <c r="B4" s="8" t="s">
        <v>5</v>
      </c>
      <c r="C4" s="8" t="s">
        <v>6</v>
      </c>
      <c r="D4" s="8" t="s">
        <v>7</v>
      </c>
    </row>
    <row r="5" spans="1:4" s="11" customFormat="1" ht="32" customHeight="1" x14ac:dyDescent="0.2">
      <c r="A5" s="9" t="s">
        <v>8</v>
      </c>
      <c r="B5" s="10">
        <f>0.1+(0.1)/(((1+0.1)^10)-1)</f>
        <v>0.16274539488251155</v>
      </c>
      <c r="C5" s="10" t="s">
        <v>9</v>
      </c>
      <c r="D5" s="9" t="s">
        <v>10</v>
      </c>
    </row>
    <row r="6" spans="1:4" s="11" customFormat="1" ht="32" customHeight="1" x14ac:dyDescent="0.2">
      <c r="A6" s="9" t="s">
        <v>11</v>
      </c>
      <c r="B6" s="10">
        <f xml:space="preserve"> 118.37 / 63.631</f>
        <v>1.8602567930725591</v>
      </c>
      <c r="C6" s="10" t="s">
        <v>9</v>
      </c>
      <c r="D6" s="9" t="s">
        <v>12</v>
      </c>
    </row>
    <row r="7" spans="1:4" s="11" customFormat="1" ht="32" customHeight="1" x14ac:dyDescent="0.2">
      <c r="A7" s="9" t="s">
        <v>13</v>
      </c>
      <c r="B7" s="12">
        <v>19204</v>
      </c>
      <c r="C7" s="12" t="s">
        <v>14</v>
      </c>
      <c r="D7" s="9" t="s">
        <v>15</v>
      </c>
    </row>
    <row r="8" spans="1:4" s="11" customFormat="1" ht="32" customHeight="1" x14ac:dyDescent="0.2">
      <c r="A8" s="9" t="s">
        <v>16</v>
      </c>
      <c r="B8" s="13">
        <f>Calculations!B10</f>
        <v>174.06937141613531</v>
      </c>
      <c r="C8" s="13" t="s">
        <v>17</v>
      </c>
      <c r="D8" s="9" t="s">
        <v>26</v>
      </c>
    </row>
    <row r="9" spans="1:4" s="11" customFormat="1" ht="32" customHeight="1" x14ac:dyDescent="0.2">
      <c r="A9" s="9" t="s">
        <v>18</v>
      </c>
      <c r="B9" s="14">
        <f>B8*B5/B7/B6</f>
        <v>7.9298774015984486E-4</v>
      </c>
      <c r="C9" s="14" t="s">
        <v>19</v>
      </c>
      <c r="D9" s="9" t="s">
        <v>20</v>
      </c>
    </row>
    <row r="10" spans="1:4" s="11" customFormat="1" ht="32" customHeight="1" x14ac:dyDescent="0.2">
      <c r="A10" s="9" t="s">
        <v>21</v>
      </c>
      <c r="B10" s="13">
        <f>B8</f>
        <v>174.06937141613531</v>
      </c>
      <c r="C10" s="13" t="s">
        <v>17</v>
      </c>
      <c r="D10" s="9" t="s">
        <v>27</v>
      </c>
    </row>
    <row r="11" spans="1:4" s="11" customFormat="1" ht="32" customHeight="1" x14ac:dyDescent="0.2">
      <c r="A11" s="9" t="s">
        <v>22</v>
      </c>
      <c r="B11" s="14">
        <f>B9/B8*B10</f>
        <v>7.9298774015984486E-4</v>
      </c>
      <c r="C11" s="14" t="s">
        <v>19</v>
      </c>
      <c r="D11" s="9" t="s">
        <v>27</v>
      </c>
    </row>
    <row r="12" spans="1:4" s="11" customFormat="1" ht="32" customHeight="1" x14ac:dyDescent="0.2">
      <c r="B12" s="15"/>
      <c r="C12" s="15"/>
    </row>
    <row r="13" spans="1:4" s="11" customFormat="1" ht="32" customHeight="1" x14ac:dyDescent="0.2">
      <c r="A13" s="9" t="s">
        <v>29</v>
      </c>
      <c r="B13" s="16">
        <f>-B11</f>
        <v>-7.9298774015984486E-4</v>
      </c>
      <c r="C13" s="14" t="s">
        <v>19</v>
      </c>
      <c r="D13" s="17" t="s">
        <v>23</v>
      </c>
    </row>
    <row r="14" spans="1:4" s="11" customFormat="1" ht="32" customHeight="1" x14ac:dyDescent="0.2">
      <c r="A14" s="9" t="s">
        <v>30</v>
      </c>
      <c r="B14" s="16">
        <f>-B9</f>
        <v>-7.9298774015984486E-4</v>
      </c>
      <c r="C14" s="14" t="s">
        <v>19</v>
      </c>
      <c r="D14" s="17" t="s">
        <v>23</v>
      </c>
    </row>
    <row r="15" spans="1:4" s="11" customFormat="1" x14ac:dyDescent="0.2"/>
    <row r="16" spans="1:4" s="11" customFormat="1" ht="16" x14ac:dyDescent="0.2">
      <c r="A16" s="11" t="s">
        <v>24</v>
      </c>
    </row>
    <row r="17" spans="1:4" s="11" customFormat="1" x14ac:dyDescent="0.2"/>
    <row r="18" spans="1:4" s="11" customFormat="1" x14ac:dyDescent="0.2"/>
    <row r="20" spans="1:4" x14ac:dyDescent="0.2">
      <c r="D20" s="18"/>
    </row>
    <row r="21" spans="1:4" x14ac:dyDescent="0.2">
      <c r="A21" s="7"/>
    </row>
    <row r="22" spans="1:4" x14ac:dyDescent="0.2">
      <c r="A2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GCAM 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Kowan O'Keefe</dc:creator>
  <cp:lastModifiedBy>Kowan O'Keefe</cp:lastModifiedBy>
  <dcterms:created xsi:type="dcterms:W3CDTF">2022-09-12T20:59:40Z</dcterms:created>
  <dcterms:modified xsi:type="dcterms:W3CDTF">2022-09-19T15:46:16Z</dcterms:modified>
</cp:coreProperties>
</file>