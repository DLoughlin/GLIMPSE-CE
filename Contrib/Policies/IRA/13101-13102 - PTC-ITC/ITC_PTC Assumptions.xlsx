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<sst xmlns="http://schemas.openxmlformats.org/spreadsheetml/2006/main" count="122" uniqueCount="73">
  <si>
    <t>High scenario</t>
  </si>
  <si>
    <t>technology</t>
  </si>
  <si>
    <t>biomass_conv</t>
  </si>
  <si>
    <t>$13/MWh PTC</t>
  </si>
  <si>
    <t>$11/MWh PTC</t>
  </si>
  <si>
    <t>CSP</t>
  </si>
  <si>
    <t>30% ITC</t>
  </si>
  <si>
    <t>$26/MWh PTC w transferability deduction</t>
  </si>
  <si>
    <t>$22/MWh PTC w transferability deduction</t>
  </si>
  <si>
    <t>CSP_storage</t>
  </si>
  <si>
    <t>geo</t>
  </si>
  <si>
    <t>$26/MWh PTC</t>
  </si>
  <si>
    <t>$26/MWh PTC w transferability</t>
  </si>
  <si>
    <t>nuclear</t>
  </si>
  <si>
    <t>N/A</t>
  </si>
  <si>
    <t>$15/MWh PTC</t>
  </si>
  <si>
    <t>$6/MWh PTC</t>
  </si>
  <si>
    <t>PV</t>
  </si>
  <si>
    <t>PV_storage</t>
  </si>
  <si>
    <t>$26/MWh PTC w/ transferability deduction</t>
  </si>
  <si>
    <t>$22/MWh PTC w/ transferability deduction</t>
  </si>
  <si>
    <t>rooftop_PV</t>
  </si>
  <si>
    <t>30% ITC w/ transferability deduction</t>
  </si>
  <si>
    <t>30% ITC w/ tranferability deduction</t>
  </si>
  <si>
    <t>25.5% ITC w/ tranferability deduction</t>
  </si>
  <si>
    <t>wind</t>
  </si>
  <si>
    <t>$18/MWh PTC</t>
  </si>
  <si>
    <t>wind_storage</t>
  </si>
  <si>
    <t>$26/MWh PTC for w/ transerability deduction.</t>
  </si>
  <si>
    <t>$26/MWh PTC w/ transferability deduction.</t>
  </si>
  <si>
    <t>$22/MWh PTC w/ tranferability deduction</t>
  </si>
  <si>
    <t>wind_offshore</t>
  </si>
  <si>
    <t>battery</t>
  </si>
  <si>
    <t>* Assuming transferability provision = 7.5% reduction in subsidy</t>
  </si>
  <si>
    <t>Credit</t>
  </si>
  <si>
    <t>Availability</t>
  </si>
  <si>
    <t>Term</t>
  </si>
  <si>
    <t>Max amount</t>
  </si>
  <si>
    <t>Min amount</t>
  </si>
  <si>
    <t>Notes</t>
  </si>
  <si>
    <t>PTC</t>
  </si>
  <si>
    <t>wind; solar; geothermal; landfill gas; MSW; qualified hydropower; marine and hydrokinetic</t>
  </si>
  <si>
    <t>Construction 2022-2024</t>
  </si>
  <si>
    <t>$26/MWh</t>
  </si>
  <si>
    <t>$5.2/MWh base</t>
  </si>
  <si>
    <t>Phasedown prior to 2022: 100% 2016; 80% 2017; 60% 2018; 40% 2019; 60% 2020</t>
  </si>
  <si>
    <t>ITC</t>
  </si>
  <si>
    <t>offshore wind; energy storage; solar; geothermal; fuel cells; microturbines; CHP; small wind; biogas; waste energy recovery</t>
  </si>
  <si>
    <t>Construction 2022- 2024</t>
  </si>
  <si>
    <t>6% base</t>
  </si>
  <si>
    <t>Tech neutral PTC</t>
  </si>
  <si>
    <t>2025-2032 OR electricity emissions reach 25% of 2022 levels</t>
  </si>
  <si>
    <t>100% value in 2033; 75% value in 2034; 50% value in 2035; 0% after 2035</t>
  </si>
  <si>
    <t>Tech neutral ITC</t>
  </si>
  <si>
    <t>Nuclear PTC</t>
  </si>
  <si>
    <t>2024-2032</t>
  </si>
  <si>
    <t>$15/MWh</t>
  </si>
  <si>
    <t>$3/MWh</t>
  </si>
  <si>
    <t>2025-2030 Full PTC value w/ transferability</t>
  </si>
  <si>
    <t>2020 Full PTC value w/o transferability</t>
  </si>
  <si>
    <t>Convert 2022 to 1975</t>
  </si>
  <si>
    <t>KWh per GJ</t>
  </si>
  <si>
    <t>MWh to kWh</t>
  </si>
  <si>
    <t>Transferability</t>
  </si>
  <si>
    <t>PTC amount ($2022)</t>
  </si>
  <si>
    <t>2020 PTC value for wind only</t>
  </si>
  <si>
    <t>Average % of full value prior to 2022</t>
  </si>
  <si>
    <t>Full PTC amount * Average reduction</t>
  </si>
  <si>
    <t>2035 PTC value w/ transferability</t>
  </si>
  <si>
    <t>Average % of full value post 2030</t>
  </si>
  <si>
    <t>Full PTC amount w transferability * Average reduction</t>
  </si>
  <si>
    <t>2020-2025 partial PTC value w/ transferability</t>
  </si>
  <si>
    <t>2020 partial PTC value w/o transferability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</si>
</sst>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9BC2E6"/>
        <bgColor rgb="FF9BC2E6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ill="1" applyFont="1">
      <alignment readingOrder="0" shrinkToFit="0" vertical="bottom" wrapText="1"/>
    </xf>
    <xf borderId="4" fillId="2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9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4" fontId="4" numFmtId="0" xfId="0" applyAlignment="1" applyFill="1" applyFont="1">
      <alignment readingOrder="0"/>
    </xf>
    <xf borderId="0" fillId="5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6" fontId="4" numFmtId="2" xfId="0" applyFill="1" applyFont="1" applyNumberFormat="1"/>
    <xf borderId="0" fillId="0" fontId="3" numFmtId="10" xfId="0" applyFont="1" applyNumberFormat="1"/>
    <xf borderId="0" fillId="7" fontId="3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4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3" width="29.0"/>
    <col customWidth="1" min="4" max="4" width="33.88"/>
    <col customWidth="1" min="5" max="7" width="41.25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4">
        <v>2020.0</v>
      </c>
      <c r="C2" s="4">
        <v>2025.0</v>
      </c>
      <c r="D2" s="4">
        <v>2030.0</v>
      </c>
      <c r="E2" s="4">
        <v>2035.0</v>
      </c>
    </row>
    <row r="3">
      <c r="A3" s="5" t="s">
        <v>2</v>
      </c>
      <c r="B3" s="6" t="s">
        <v>3</v>
      </c>
      <c r="C3" s="6" t="s">
        <v>3</v>
      </c>
      <c r="D3" s="6" t="s">
        <v>3</v>
      </c>
      <c r="E3" s="6" t="s">
        <v>4</v>
      </c>
    </row>
    <row r="4">
      <c r="A4" s="5" t="s">
        <v>5</v>
      </c>
      <c r="B4" s="6" t="s">
        <v>6</v>
      </c>
      <c r="C4" s="6" t="s">
        <v>7</v>
      </c>
      <c r="D4" s="6" t="s">
        <v>7</v>
      </c>
      <c r="E4" s="6" t="s">
        <v>8</v>
      </c>
    </row>
    <row r="5">
      <c r="A5" s="5" t="s">
        <v>9</v>
      </c>
      <c r="B5" s="6" t="s">
        <v>6</v>
      </c>
      <c r="C5" s="6" t="s">
        <v>7</v>
      </c>
      <c r="D5" s="6" t="s">
        <v>7</v>
      </c>
      <c r="E5" s="6" t="s">
        <v>8</v>
      </c>
    </row>
    <row r="6">
      <c r="A6" s="5" t="s">
        <v>10</v>
      </c>
      <c r="B6" s="6" t="s">
        <v>11</v>
      </c>
      <c r="C6" s="6" t="s">
        <v>12</v>
      </c>
      <c r="D6" s="6" t="s">
        <v>12</v>
      </c>
      <c r="E6" s="6" t="s">
        <v>8</v>
      </c>
    </row>
    <row r="7">
      <c r="A7" s="5" t="s">
        <v>13</v>
      </c>
      <c r="B7" s="6" t="s">
        <v>14</v>
      </c>
      <c r="C7" s="6" t="s">
        <v>15</v>
      </c>
      <c r="D7" s="6" t="s">
        <v>15</v>
      </c>
      <c r="E7" s="6" t="s">
        <v>16</v>
      </c>
    </row>
    <row r="8">
      <c r="A8" s="5" t="s">
        <v>17</v>
      </c>
      <c r="B8" s="6" t="s">
        <v>6</v>
      </c>
      <c r="C8" s="6" t="s">
        <v>7</v>
      </c>
      <c r="D8" s="6" t="s">
        <v>7</v>
      </c>
      <c r="E8" s="6" t="s">
        <v>8</v>
      </c>
    </row>
    <row r="9">
      <c r="A9" s="5" t="s">
        <v>18</v>
      </c>
      <c r="B9" s="6" t="s">
        <v>6</v>
      </c>
      <c r="C9" s="6" t="s">
        <v>19</v>
      </c>
      <c r="D9" s="6" t="s">
        <v>19</v>
      </c>
      <c r="E9" s="6" t="s">
        <v>20</v>
      </c>
    </row>
    <row r="10">
      <c r="A10" s="5" t="s">
        <v>21</v>
      </c>
      <c r="B10" s="6" t="s">
        <v>6</v>
      </c>
      <c r="C10" s="6" t="s">
        <v>22</v>
      </c>
      <c r="D10" s="6" t="s">
        <v>23</v>
      </c>
      <c r="E10" s="6" t="s">
        <v>24</v>
      </c>
    </row>
    <row r="11">
      <c r="A11" s="5" t="s">
        <v>25</v>
      </c>
      <c r="B11" s="6" t="s">
        <v>26</v>
      </c>
      <c r="C11" s="6" t="s">
        <v>19</v>
      </c>
      <c r="D11" s="6" t="s">
        <v>19</v>
      </c>
      <c r="E11" s="6" t="s">
        <v>20</v>
      </c>
    </row>
    <row r="12">
      <c r="A12" s="5" t="s">
        <v>27</v>
      </c>
      <c r="B12" s="6" t="s">
        <v>26</v>
      </c>
      <c r="C12" s="6" t="s">
        <v>28</v>
      </c>
      <c r="D12" s="6" t="s">
        <v>29</v>
      </c>
      <c r="E12" s="6" t="s">
        <v>30</v>
      </c>
    </row>
    <row r="13">
      <c r="A13" s="5" t="s">
        <v>31</v>
      </c>
      <c r="B13" s="6" t="s">
        <v>6</v>
      </c>
      <c r="C13" s="6" t="s">
        <v>22</v>
      </c>
      <c r="D13" s="6" t="s">
        <v>22</v>
      </c>
      <c r="E13" s="6" t="s">
        <v>24</v>
      </c>
    </row>
    <row r="14">
      <c r="A14" s="5" t="s">
        <v>32</v>
      </c>
      <c r="B14" s="6" t="s">
        <v>14</v>
      </c>
      <c r="C14" s="6" t="s">
        <v>22</v>
      </c>
      <c r="D14" s="6" t="s">
        <v>22</v>
      </c>
      <c r="E14" s="6" t="s">
        <v>24</v>
      </c>
    </row>
    <row r="15">
      <c r="A15" s="7" t="s">
        <v>33</v>
      </c>
    </row>
    <row r="19">
      <c r="A19" s="8" t="s">
        <v>34</v>
      </c>
      <c r="B19" s="8" t="s">
        <v>35</v>
      </c>
      <c r="C19" s="8" t="s">
        <v>36</v>
      </c>
      <c r="D19" s="8" t="s">
        <v>37</v>
      </c>
      <c r="E19" s="8" t="s">
        <v>38</v>
      </c>
      <c r="F19" s="8" t="s">
        <v>39</v>
      </c>
    </row>
    <row r="20">
      <c r="A20" s="9" t="s">
        <v>40</v>
      </c>
      <c r="B20" s="9" t="s">
        <v>41</v>
      </c>
      <c r="C20" s="9" t="s">
        <v>42</v>
      </c>
      <c r="D20" s="9" t="s">
        <v>43</v>
      </c>
      <c r="E20" s="9" t="s">
        <v>44</v>
      </c>
      <c r="F20" s="10" t="s">
        <v>45</v>
      </c>
    </row>
    <row r="21">
      <c r="A21" s="9" t="s">
        <v>46</v>
      </c>
      <c r="B21" s="9" t="s">
        <v>47</v>
      </c>
      <c r="C21" s="9" t="s">
        <v>48</v>
      </c>
      <c r="D21" s="11">
        <v>0.3</v>
      </c>
      <c r="E21" s="9" t="s">
        <v>49</v>
      </c>
    </row>
    <row r="22">
      <c r="A22" s="9" t="s">
        <v>50</v>
      </c>
      <c r="B22" s="12"/>
      <c r="C22" s="9" t="s">
        <v>51</v>
      </c>
      <c r="D22" s="9" t="s">
        <v>43</v>
      </c>
      <c r="E22" s="13">
        <v>5.2</v>
      </c>
      <c r="F22" s="10" t="s">
        <v>52</v>
      </c>
    </row>
    <row r="23">
      <c r="A23" s="9" t="s">
        <v>53</v>
      </c>
      <c r="B23" s="12"/>
      <c r="C23" s="9" t="s">
        <v>51</v>
      </c>
      <c r="D23" s="11">
        <v>0.3</v>
      </c>
      <c r="E23" s="13">
        <v>0.06</v>
      </c>
    </row>
    <row r="24">
      <c r="A24" s="9" t="s">
        <v>54</v>
      </c>
      <c r="B24" s="12"/>
      <c r="C24" s="9" t="s">
        <v>55</v>
      </c>
      <c r="D24" s="9" t="s">
        <v>56</v>
      </c>
      <c r="E24" s="9" t="s">
        <v>57</v>
      </c>
      <c r="F24" s="12"/>
    </row>
    <row r="25">
      <c r="A25" s="7"/>
    </row>
    <row r="27">
      <c r="A27" s="14" t="s">
        <v>58</v>
      </c>
      <c r="C27" s="14" t="s">
        <v>59</v>
      </c>
    </row>
    <row r="28">
      <c r="A28" s="15" t="s">
        <v>60</v>
      </c>
      <c r="B28" s="16">
        <v>0.236120348</v>
      </c>
      <c r="C28" s="17" t="s">
        <v>60</v>
      </c>
      <c r="D28" s="16">
        <v>0.236120348</v>
      </c>
    </row>
    <row r="29">
      <c r="A29" s="15" t="s">
        <v>61</v>
      </c>
      <c r="B29" s="16">
        <v>277.778</v>
      </c>
      <c r="C29" s="17" t="s">
        <v>61</v>
      </c>
      <c r="D29" s="16">
        <v>277.778</v>
      </c>
    </row>
    <row r="30">
      <c r="A30" s="15" t="s">
        <v>62</v>
      </c>
      <c r="B30" s="16">
        <v>1000.0</v>
      </c>
      <c r="C30" s="17" t="s">
        <v>62</v>
      </c>
      <c r="D30" s="16">
        <v>1000.0</v>
      </c>
    </row>
    <row r="31">
      <c r="A31" s="15" t="s">
        <v>63</v>
      </c>
      <c r="B31" s="16">
        <v>0.925</v>
      </c>
      <c r="C31" s="17" t="s">
        <v>63</v>
      </c>
      <c r="D31" s="16">
        <v>1.0</v>
      </c>
    </row>
    <row r="32">
      <c r="A32" s="17" t="s">
        <v>64</v>
      </c>
      <c r="B32" s="16">
        <v>26.0</v>
      </c>
      <c r="C32" s="17" t="s">
        <v>64</v>
      </c>
      <c r="D32" s="16">
        <v>26.0</v>
      </c>
    </row>
    <row r="33">
      <c r="B33" s="18">
        <f>B32/B30*B31*B28*B29</f>
        <v>1.577416365</v>
      </c>
      <c r="D33" s="18">
        <f>D32/D30*D31*D28*D29</f>
        <v>1.705314989</v>
      </c>
    </row>
    <row r="36">
      <c r="A36" s="14" t="s">
        <v>65</v>
      </c>
    </row>
    <row r="37">
      <c r="A37" s="7" t="s">
        <v>66</v>
      </c>
      <c r="B37" s="19">
        <f>AVERAGE(1, 0.8, 0.6, 0.4, 0.6)</f>
        <v>0.68</v>
      </c>
    </row>
    <row r="38">
      <c r="A38" s="7" t="s">
        <v>67</v>
      </c>
      <c r="B38" s="18">
        <f>B37*D33</f>
        <v>1.159614192</v>
      </c>
    </row>
    <row r="40">
      <c r="A40" s="14" t="s">
        <v>68</v>
      </c>
    </row>
    <row r="41" ht="46.5" customHeight="1">
      <c r="A41" s="20" t="s">
        <v>69</v>
      </c>
      <c r="B41" s="19">
        <f>AVERAGE(1, 1, 1, 0.75, 0.5)</f>
        <v>0.85</v>
      </c>
    </row>
    <row r="42" ht="24.75" customHeight="1">
      <c r="A42" s="21" t="s">
        <v>70</v>
      </c>
      <c r="B42" s="18">
        <f>B33*B41</f>
        <v>1.34080391</v>
      </c>
    </row>
    <row r="45">
      <c r="A45" s="14" t="s">
        <v>71</v>
      </c>
      <c r="B45" s="22"/>
    </row>
    <row r="46">
      <c r="A46" s="17" t="s">
        <v>60</v>
      </c>
      <c r="B46" s="16">
        <v>0.236120348</v>
      </c>
    </row>
    <row r="47">
      <c r="A47" s="17" t="s">
        <v>61</v>
      </c>
      <c r="B47" s="16">
        <v>277.778</v>
      </c>
    </row>
    <row r="48">
      <c r="A48" s="17" t="s">
        <v>62</v>
      </c>
      <c r="B48" s="16">
        <v>1000.0</v>
      </c>
    </row>
    <row r="49">
      <c r="A49" s="17" t="s">
        <v>63</v>
      </c>
      <c r="B49" s="16">
        <v>0.925</v>
      </c>
    </row>
    <row r="50">
      <c r="A50" s="17" t="s">
        <v>64</v>
      </c>
      <c r="B50" s="16">
        <v>13.0</v>
      </c>
    </row>
    <row r="51">
      <c r="B51" s="18">
        <f>B50/B48*B46*B47*B49</f>
        <v>0.7887081823</v>
      </c>
    </row>
    <row r="53">
      <c r="A53" s="14" t="s">
        <v>72</v>
      </c>
      <c r="B53" s="22"/>
    </row>
    <row r="54">
      <c r="A54" s="23" t="s">
        <v>60</v>
      </c>
      <c r="B54" s="23">
        <v>0.236120348</v>
      </c>
    </row>
    <row r="55">
      <c r="A55" s="23" t="s">
        <v>61</v>
      </c>
      <c r="B55" s="23">
        <v>277.778</v>
      </c>
    </row>
    <row r="56">
      <c r="A56" s="23" t="s">
        <v>62</v>
      </c>
      <c r="B56" s="23">
        <v>1000.0</v>
      </c>
    </row>
    <row r="57">
      <c r="A57" s="23" t="s">
        <v>63</v>
      </c>
      <c r="B57" s="7">
        <v>1.0</v>
      </c>
    </row>
    <row r="58">
      <c r="A58" s="23" t="s">
        <v>64</v>
      </c>
      <c r="B58" s="23">
        <v>13.0</v>
      </c>
    </row>
    <row r="59">
      <c r="B59" s="18">
        <f>B58/B56*B54*B55*B57</f>
        <v>0.8526574943</v>
      </c>
    </row>
    <row r="61">
      <c r="A61" s="14" t="s">
        <v>68</v>
      </c>
    </row>
    <row r="62">
      <c r="A62" s="7" t="s">
        <v>69</v>
      </c>
      <c r="B62" s="19">
        <f>AVERAGE(1, 1, 1, 0.75, 0.5)</f>
        <v>0.85</v>
      </c>
    </row>
    <row r="63">
      <c r="A63" s="21" t="s">
        <v>70</v>
      </c>
      <c r="B63" s="18">
        <f>B51*B62</f>
        <v>0.6704019549</v>
      </c>
    </row>
  </sheetData>
  <mergeCells count="7">
    <mergeCell ref="F20:F21"/>
    <mergeCell ref="F22:F23"/>
    <mergeCell ref="A27:B27"/>
    <mergeCell ref="C27:D27"/>
    <mergeCell ref="A36:B36"/>
    <mergeCell ref="A40:B40"/>
    <mergeCell ref="A61:B61"/>
  </mergeCells>
  <drawing r:id="rId1"/>
</worksheet>
</file>