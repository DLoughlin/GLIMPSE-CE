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\Contrib\Policies\State-CO2Rdx-Targets\calculations\"/>
    </mc:Choice>
  </mc:AlternateContent>
  <xr:revisionPtr revIDLastSave="0" documentId="13_ncr:1_{2CC37269-CDD0-432C-A0F0-A1D209CDE265}" xr6:coauthVersionLast="47" xr6:coauthVersionMax="47" xr10:uidLastSave="{00000000-0000-0000-0000-000000000000}"/>
  <bookViews>
    <workbookView xWindow="3920" yWindow="15250" windowWidth="33620" windowHeight="18850" xr2:uid="{4D4CDEBE-6EC1-4A9F-AD81-A387ACCE1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49" i="1" l="1"/>
  <c r="V49" i="1"/>
  <c r="U49" i="1"/>
  <c r="T49" i="1"/>
  <c r="S49" i="1"/>
  <c r="R49" i="1"/>
  <c r="Q49" i="1"/>
  <c r="W48" i="1"/>
  <c r="V48" i="1"/>
  <c r="U48" i="1"/>
  <c r="T48" i="1"/>
  <c r="S48" i="1"/>
  <c r="R48" i="1"/>
  <c r="Q48" i="1"/>
  <c r="W47" i="1"/>
  <c r="V47" i="1"/>
  <c r="U47" i="1"/>
  <c r="T47" i="1"/>
  <c r="S47" i="1"/>
  <c r="R47" i="1"/>
  <c r="Q47" i="1"/>
  <c r="W46" i="1"/>
  <c r="V46" i="1"/>
  <c r="U46" i="1"/>
  <c r="T46" i="1"/>
  <c r="S46" i="1"/>
  <c r="R46" i="1"/>
  <c r="Q46" i="1"/>
  <c r="W45" i="1"/>
  <c r="V45" i="1"/>
  <c r="U45" i="1"/>
  <c r="T45" i="1"/>
  <c r="S45" i="1"/>
  <c r="R45" i="1"/>
  <c r="Q45" i="1"/>
  <c r="W44" i="1"/>
  <c r="V44" i="1"/>
  <c r="U44" i="1"/>
  <c r="T44" i="1"/>
  <c r="S44" i="1"/>
  <c r="R44" i="1"/>
  <c r="Q44" i="1"/>
  <c r="S43" i="1"/>
  <c r="R43" i="1"/>
  <c r="Q43" i="1"/>
  <c r="W42" i="1"/>
  <c r="V42" i="1"/>
  <c r="U42" i="1"/>
  <c r="T42" i="1"/>
  <c r="S42" i="1"/>
  <c r="R42" i="1"/>
  <c r="Q42" i="1"/>
  <c r="W41" i="1"/>
  <c r="V41" i="1"/>
  <c r="U41" i="1"/>
  <c r="T41" i="1"/>
  <c r="S41" i="1"/>
  <c r="R41" i="1"/>
  <c r="Q41" i="1"/>
  <c r="W40" i="1"/>
  <c r="V40" i="1"/>
  <c r="U40" i="1"/>
  <c r="T40" i="1"/>
  <c r="S40" i="1"/>
  <c r="R40" i="1"/>
  <c r="Q40" i="1"/>
  <c r="R39" i="1"/>
  <c r="Q39" i="1"/>
  <c r="V38" i="1"/>
  <c r="U38" i="1"/>
  <c r="T38" i="1"/>
  <c r="S38" i="1"/>
  <c r="R38" i="1"/>
  <c r="Q38" i="1"/>
  <c r="S37" i="1"/>
  <c r="R37" i="1"/>
  <c r="Q37" i="1"/>
  <c r="S36" i="1"/>
  <c r="R36" i="1"/>
  <c r="Q36" i="1"/>
  <c r="W35" i="1"/>
  <c r="V35" i="1"/>
  <c r="U35" i="1"/>
  <c r="T35" i="1"/>
  <c r="S35" i="1"/>
  <c r="R35" i="1"/>
  <c r="Q35" i="1"/>
  <c r="W34" i="1"/>
  <c r="V34" i="1"/>
  <c r="U34" i="1"/>
  <c r="T34" i="1"/>
  <c r="S34" i="1"/>
  <c r="R34" i="1"/>
  <c r="Q34" i="1"/>
  <c r="W33" i="1"/>
  <c r="V33" i="1"/>
  <c r="U33" i="1"/>
  <c r="T33" i="1"/>
  <c r="S33" i="1"/>
  <c r="R33" i="1"/>
  <c r="Q33" i="1"/>
  <c r="W32" i="1"/>
  <c r="V32" i="1"/>
  <c r="U32" i="1"/>
  <c r="T32" i="1"/>
  <c r="S32" i="1"/>
  <c r="R32" i="1"/>
  <c r="Q32" i="1"/>
  <c r="W31" i="1"/>
  <c r="V31" i="1"/>
  <c r="U31" i="1"/>
  <c r="T31" i="1"/>
  <c r="S31" i="1"/>
  <c r="R31" i="1"/>
  <c r="Q31" i="1"/>
  <c r="W30" i="1"/>
  <c r="V30" i="1"/>
  <c r="U30" i="1"/>
  <c r="T30" i="1"/>
  <c r="S30" i="1"/>
  <c r="R30" i="1"/>
  <c r="Q30" i="1"/>
  <c r="W29" i="1"/>
  <c r="V29" i="1"/>
  <c r="U29" i="1"/>
  <c r="T29" i="1"/>
  <c r="S29" i="1"/>
  <c r="R29" i="1"/>
  <c r="Q29" i="1"/>
  <c r="W28" i="1"/>
  <c r="V28" i="1"/>
  <c r="U28" i="1"/>
  <c r="T28" i="1"/>
  <c r="S28" i="1"/>
  <c r="R28" i="1"/>
  <c r="Q28" i="1"/>
  <c r="W27" i="1"/>
  <c r="V27" i="1"/>
  <c r="U27" i="1"/>
  <c r="T27" i="1"/>
  <c r="S27" i="1"/>
  <c r="R27" i="1"/>
  <c r="Q27" i="1"/>
  <c r="AB17" i="1"/>
  <c r="AB16" i="1"/>
  <c r="AB15" i="1"/>
  <c r="AB14" i="1"/>
  <c r="AB13" i="1"/>
  <c r="AB12" i="1"/>
  <c r="AB11" i="1"/>
  <c r="Z17" i="1"/>
  <c r="Z16" i="1"/>
  <c r="Z15" i="1"/>
  <c r="Z14" i="1"/>
  <c r="Z13" i="1"/>
  <c r="Z12" i="1"/>
  <c r="Z11" i="1"/>
  <c r="J49" i="1"/>
  <c r="A21" i="1" s="1"/>
  <c r="Q21" i="1" s="1"/>
  <c r="I49" i="1"/>
  <c r="H49" i="1"/>
  <c r="G49" i="1"/>
  <c r="W21" i="1" s="1"/>
  <c r="J48" i="1"/>
  <c r="A13" i="1" s="1"/>
  <c r="Q13" i="1" s="1"/>
  <c r="I48" i="1"/>
  <c r="H48" i="1"/>
  <c r="G48" i="1"/>
  <c r="J47" i="1"/>
  <c r="A4" i="1" s="1"/>
  <c r="Q4" i="1" s="1"/>
  <c r="I47" i="1"/>
  <c r="H47" i="1"/>
  <c r="G47" i="1"/>
  <c r="S4" i="1" s="1"/>
  <c r="J46" i="1"/>
  <c r="A7" i="1" s="1"/>
  <c r="Q7" i="1" s="1"/>
  <c r="I46" i="1"/>
  <c r="H46" i="1"/>
  <c r="G46" i="1"/>
  <c r="T7" i="1" s="1"/>
  <c r="J45" i="1"/>
  <c r="A10" i="1" s="1"/>
  <c r="Q10" i="1" s="1"/>
  <c r="I45" i="1"/>
  <c r="H45" i="1"/>
  <c r="R10" i="1" s="1"/>
  <c r="G45" i="1"/>
  <c r="J44" i="1"/>
  <c r="A22" i="1" s="1"/>
  <c r="Q22" i="1" s="1"/>
  <c r="I44" i="1"/>
  <c r="H44" i="1"/>
  <c r="G44" i="1"/>
  <c r="T22" i="1" s="1"/>
  <c r="J43" i="1"/>
  <c r="A14" i="1" s="1"/>
  <c r="Q14" i="1" s="1"/>
  <c r="I43" i="1"/>
  <c r="H43" i="1"/>
  <c r="R14" i="1" s="1"/>
  <c r="G43" i="1"/>
  <c r="J42" i="1"/>
  <c r="A8" i="1" s="1"/>
  <c r="Q8" i="1" s="1"/>
  <c r="I42" i="1"/>
  <c r="H42" i="1"/>
  <c r="G42" i="1"/>
  <c r="S8" i="1" s="1"/>
  <c r="J41" i="1"/>
  <c r="A18" i="1" s="1"/>
  <c r="Q18" i="1" s="1"/>
  <c r="I41" i="1"/>
  <c r="H41" i="1"/>
  <c r="S18" i="1" s="1"/>
  <c r="G41" i="1"/>
  <c r="J40" i="1"/>
  <c r="A9" i="1" s="1"/>
  <c r="Q9" i="1" s="1"/>
  <c r="I40" i="1"/>
  <c r="H40" i="1"/>
  <c r="G40" i="1"/>
  <c r="W9" i="1" s="1"/>
  <c r="J39" i="1"/>
  <c r="A3" i="1" s="1"/>
  <c r="Q3" i="1" s="1"/>
  <c r="I39" i="1"/>
  <c r="H39" i="1"/>
  <c r="G39" i="1"/>
  <c r="R3" i="1" s="1"/>
  <c r="J38" i="1"/>
  <c r="A24" i="1" s="1"/>
  <c r="Q24" i="1" s="1"/>
  <c r="I38" i="1"/>
  <c r="H38" i="1"/>
  <c r="S24" i="1" s="1"/>
  <c r="G38" i="1"/>
  <c r="J37" i="1"/>
  <c r="A20" i="1" s="1"/>
  <c r="Q20" i="1" s="1"/>
  <c r="I37" i="1"/>
  <c r="H37" i="1"/>
  <c r="G37" i="1"/>
  <c r="J36" i="1"/>
  <c r="A17" i="1" s="1"/>
  <c r="Q17" i="1" s="1"/>
  <c r="I36" i="1"/>
  <c r="H36" i="1"/>
  <c r="R17" i="1" s="1"/>
  <c r="G36" i="1"/>
  <c r="J35" i="1"/>
  <c r="A16" i="1" s="1"/>
  <c r="Q16" i="1" s="1"/>
  <c r="I35" i="1"/>
  <c r="H35" i="1"/>
  <c r="R16" i="1" s="1"/>
  <c r="G35" i="1"/>
  <c r="J34" i="1"/>
  <c r="A5" i="1" s="1"/>
  <c r="Q5" i="1" s="1"/>
  <c r="I34" i="1"/>
  <c r="H34" i="1"/>
  <c r="G34" i="1"/>
  <c r="S5" i="1" s="1"/>
  <c r="J33" i="1"/>
  <c r="A12" i="1" s="1"/>
  <c r="Q12" i="1" s="1"/>
  <c r="I33" i="1"/>
  <c r="H33" i="1"/>
  <c r="S12" i="1" s="1"/>
  <c r="G33" i="1"/>
  <c r="J32" i="1"/>
  <c r="A2" i="1" s="1"/>
  <c r="Q2" i="1" s="1"/>
  <c r="I32" i="1"/>
  <c r="H32" i="1"/>
  <c r="G32" i="1"/>
  <c r="S2" i="1" s="1"/>
  <c r="J31" i="1"/>
  <c r="A15" i="1" s="1"/>
  <c r="Q15" i="1" s="1"/>
  <c r="I31" i="1"/>
  <c r="H31" i="1"/>
  <c r="S15" i="1" s="1"/>
  <c r="U15" i="1" s="1"/>
  <c r="G31" i="1"/>
  <c r="J30" i="1"/>
  <c r="A11" i="1" s="1"/>
  <c r="Q11" i="1" s="1"/>
  <c r="I30" i="1"/>
  <c r="S11" i="1" s="1"/>
  <c r="H30" i="1"/>
  <c r="G30" i="1"/>
  <c r="J29" i="1"/>
  <c r="A6" i="1" s="1"/>
  <c r="Q6" i="1" s="1"/>
  <c r="I29" i="1"/>
  <c r="H29" i="1"/>
  <c r="G29" i="1"/>
  <c r="W6" i="1" s="1"/>
  <c r="J28" i="1"/>
  <c r="A19" i="1" s="1"/>
  <c r="Q19" i="1" s="1"/>
  <c r="I28" i="1"/>
  <c r="H28" i="1"/>
  <c r="S19" i="1" s="1"/>
  <c r="G28" i="1"/>
  <c r="J27" i="1"/>
  <c r="A23" i="1" s="1"/>
  <c r="Q23" i="1" s="1"/>
  <c r="I27" i="1"/>
  <c r="H27" i="1"/>
  <c r="G27" i="1"/>
  <c r="S23" i="1" s="1"/>
  <c r="U23" i="1" s="1"/>
  <c r="V23" i="1" s="1"/>
  <c r="R9" i="1" l="1"/>
  <c r="S9" i="1" s="1"/>
  <c r="T9" i="1" s="1"/>
  <c r="U9" i="1" s="1"/>
  <c r="V9" i="1" s="1"/>
  <c r="R4" i="1"/>
  <c r="R2" i="1"/>
  <c r="R7" i="1"/>
  <c r="S7" i="1" s="1"/>
  <c r="R20" i="1"/>
  <c r="S20" i="1" s="1"/>
  <c r="T20" i="1" s="1"/>
  <c r="U20" i="1" s="1"/>
  <c r="V20" i="1" s="1"/>
  <c r="R19" i="1"/>
  <c r="R24" i="1"/>
  <c r="R13" i="1"/>
  <c r="S13" i="1" s="1"/>
  <c r="T13" i="1" s="1"/>
  <c r="U13" i="1" s="1"/>
  <c r="U24" i="1"/>
  <c r="T23" i="1"/>
  <c r="R22" i="1"/>
  <c r="S22" i="1" s="1"/>
  <c r="R12" i="1"/>
  <c r="R18" i="1"/>
  <c r="S16" i="1"/>
  <c r="T16" i="1" s="1"/>
  <c r="U16" i="1" s="1"/>
  <c r="V16" i="1" s="1"/>
  <c r="W7" i="1"/>
  <c r="R11" i="1"/>
  <c r="V15" i="1"/>
  <c r="T15" i="1"/>
  <c r="R5" i="1"/>
  <c r="R23" i="1"/>
  <c r="R8" i="1"/>
  <c r="W17" i="1"/>
  <c r="R15" i="1"/>
  <c r="S21" i="1"/>
  <c r="W3" i="1"/>
  <c r="W2" i="1"/>
  <c r="W4" i="1"/>
  <c r="U4" i="1" s="1"/>
  <c r="T4" i="1" s="1"/>
  <c r="W10" i="1"/>
  <c r="S10" i="1" s="1"/>
  <c r="T10" i="1" s="1"/>
  <c r="U10" i="1" s="1"/>
  <c r="V10" i="1" s="1"/>
  <c r="S6" i="1"/>
  <c r="W5" i="1"/>
  <c r="U5" i="1" s="1"/>
  <c r="T5" i="1" s="1"/>
  <c r="W19" i="1"/>
  <c r="U19" i="1" s="1"/>
  <c r="T19" i="1" s="1"/>
  <c r="W8" i="1"/>
  <c r="U8" i="1" s="1"/>
  <c r="T8" i="1" s="1"/>
  <c r="W22" i="1"/>
  <c r="S3" i="1" l="1"/>
  <c r="T3" i="1" s="1"/>
  <c r="U3" i="1" s="1"/>
  <c r="V3" i="1" s="1"/>
  <c r="R21" i="1"/>
  <c r="U21" i="1"/>
  <c r="V19" i="1"/>
  <c r="V24" i="1"/>
  <c r="T24" i="1"/>
  <c r="U22" i="1"/>
  <c r="V22" i="1" s="1"/>
  <c r="S17" i="1"/>
  <c r="T17" i="1" s="1"/>
  <c r="U17" i="1" s="1"/>
  <c r="V17" i="1" s="1"/>
  <c r="U7" i="1"/>
  <c r="V7" i="1" s="1"/>
  <c r="V4" i="1"/>
  <c r="U6" i="1"/>
  <c r="R6" i="1"/>
  <c r="U2" i="1"/>
  <c r="T2" i="1" s="1"/>
  <c r="V8" i="1"/>
  <c r="V5" i="1"/>
  <c r="V21" i="1" l="1"/>
  <c r="T21" i="1"/>
  <c r="V2" i="1"/>
  <c r="T6" i="1"/>
  <c r="V6" i="1"/>
</calcChain>
</file>

<file path=xl/sharedStrings.xml><?xml version="1.0" encoding="utf-8"?>
<sst xmlns="http://schemas.openxmlformats.org/spreadsheetml/2006/main" count="152" uniqueCount="31">
  <si>
    <t>relative to 1990 levels</t>
  </si>
  <si>
    <t>NH</t>
  </si>
  <si>
    <t>ME</t>
  </si>
  <si>
    <t>VT</t>
  </si>
  <si>
    <t>MA</t>
  </si>
  <si>
    <t>CT</t>
  </si>
  <si>
    <t>RI</t>
  </si>
  <si>
    <t>NY</t>
  </si>
  <si>
    <t>NJ</t>
  </si>
  <si>
    <t>PA</t>
  </si>
  <si>
    <t>relative to 2005</t>
  </si>
  <si>
    <t>relative to 2005 levels</t>
  </si>
  <si>
    <t>DE</t>
  </si>
  <si>
    <t>relative to 2008</t>
  </si>
  <si>
    <t>MD</t>
  </si>
  <si>
    <t>relative to 2006</t>
  </si>
  <si>
    <t>VA</t>
  </si>
  <si>
    <t>NC</t>
  </si>
  <si>
    <t>LA</t>
  </si>
  <si>
    <t>MI</t>
  </si>
  <si>
    <t>MN</t>
  </si>
  <si>
    <t>NM</t>
  </si>
  <si>
    <t>CO</t>
  </si>
  <si>
    <t>MT</t>
  </si>
  <si>
    <t>WA</t>
  </si>
  <si>
    <t>OR</t>
  </si>
  <si>
    <t>CA</t>
  </si>
  <si>
    <t>State</t>
  </si>
  <si>
    <t>NV</t>
  </si>
  <si>
    <t>NESCAUM</t>
  </si>
  <si>
    <t>PA-MD-DE-VA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</si>
</sst>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dashed">
        <color rgb="FFBFBFBF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1" xfId="1" applyFont="1" applyBorder="1" applyAlignment="1">
      <alignment horizontal="left" wrapText="1"/>
    </xf>
    <xf numFmtId="164" fontId="2" fillId="0" borderId="2" xfId="1" applyNumberFormat="1" applyFont="1" applyBorder="1" applyAlignment="1" applyProtection="1">
      <alignment wrapText="1"/>
      <protection locked="0"/>
    </xf>
    <xf numFmtId="0" fontId="2" fillId="0" borderId="2" xfId="1" applyFont="1" applyBorder="1" applyAlignment="1" applyProtection="1">
      <alignment wrapText="1"/>
      <protection locked="0"/>
    </xf>
    <xf numFmtId="0" fontId="3" fillId="0" borderId="1" xfId="1" applyFont="1" applyBorder="1" applyAlignment="1">
      <alignment horizontal="right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2">
    <cellStyle name="Normal" xfId="0" builtinId="0"/>
    <cellStyle name="Normal 2" xfId="1" xr:uid="{FE03ADC2-07B2-410C-B7FA-5D4D82988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Sheet1!$P$27</c:f>
              <c:strCache>
                <c:ptCount val="1"/>
                <c:pt idx="0">
                  <c:v>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Sheet1!$Q$27:$W$27</c:f>
              <c:numCache>
                <c:formatCode>General</c:formatCode>
                <c:ptCount val="7"/>
                <c:pt idx="0">
                  <c:v>1</c:v>
                </c:pt>
                <c:pt idx="1">
                  <c:v>0.86021062670596316</c:v>
                </c:pt>
                <c:pt idx="2">
                  <c:v>0.7204212534119262</c:v>
                </c:pt>
                <c:pt idx="3">
                  <c:v>0.60580878127821058</c:v>
                </c:pt>
                <c:pt idx="4">
                  <c:v>0.49119630914449508</c:v>
                </c:pt>
                <c:pt idx="5">
                  <c:v>0.37658383701077952</c:v>
                </c:pt>
                <c:pt idx="6">
                  <c:v>0.26197136487706396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1AB-8180-31B22C05356A}"/>
            </c:ext>
          </c:extLst>
        </c:ser>
        <c:ser>
          <c:idx val="1"/>
          <c:order val="1"/>
          <c:tx>
            <c:strRef>
              <c:f>Sheet1!$P$28</c:f>
              <c:strCache>
                <c:ptCount val="1"/>
                <c:pt idx="0">
                  <c:v>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Sheet1!$Q$28:$W$28</c:f>
              <c:numCache>
                <c:formatCode>General</c:formatCode>
                <c:ptCount val="7"/>
                <c:pt idx="0">
                  <c:v>1</c:v>
                </c:pt>
                <c:pt idx="1">
                  <c:v>0.83853347277499846</c:v>
                </c:pt>
                <c:pt idx="2">
                  <c:v>0.71275345185874861</c:v>
                </c:pt>
                <c:pt idx="3">
                  <c:v>0.58697343094249876</c:v>
                </c:pt>
                <c:pt idx="4">
                  <c:v>0.46119341002624903</c:v>
                </c:pt>
                <c:pt idx="5">
                  <c:v>0.33541338910999918</c:v>
                </c:pt>
                <c:pt idx="6">
                  <c:v>0.20963336819374956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6-41AB-8180-31B22C05356A}"/>
            </c:ext>
          </c:extLst>
        </c:ser>
        <c:ser>
          <c:idx val="2"/>
          <c:order val="2"/>
          <c:tx>
            <c:strRef>
              <c:f>Sheet1!$P$29</c:f>
              <c:strCache>
                <c:ptCount val="1"/>
                <c:pt idx="0">
                  <c:v>VT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Sheet1!$Q$29:$W$29</c:f>
              <c:numCache>
                <c:formatCode>General</c:formatCode>
                <c:ptCount val="7"/>
                <c:pt idx="0">
                  <c:v>1</c:v>
                </c:pt>
                <c:pt idx="1">
                  <c:v>0.77240164402928024</c:v>
                </c:pt>
                <c:pt idx="2">
                  <c:v>0.54480328805856049</c:v>
                </c:pt>
                <c:pt idx="3">
                  <c:v>0.45400274004880031</c:v>
                </c:pt>
                <c:pt idx="4">
                  <c:v>0.36320219203904025</c:v>
                </c:pt>
                <c:pt idx="5">
                  <c:v>0.27240164402928019</c:v>
                </c:pt>
                <c:pt idx="6">
                  <c:v>0.1816010960195201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6-41AB-8180-31B22C05356A}"/>
            </c:ext>
          </c:extLst>
        </c:ser>
        <c:ser>
          <c:idx val="3"/>
          <c:order val="3"/>
          <c:tx>
            <c:strRef>
              <c:f>Sheet1!$P$30</c:f>
              <c:strCache>
                <c:ptCount val="1"/>
                <c:pt idx="0">
                  <c:v>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Sheet1!$Q$30:$W$30</c:f>
              <c:numCache>
                <c:formatCode>General</c:formatCode>
                <c:ptCount val="7"/>
                <c:pt idx="0">
                  <c:v>1</c:v>
                </c:pt>
                <c:pt idx="1">
                  <c:v>0.82743635819756012</c:v>
                </c:pt>
                <c:pt idx="2">
                  <c:v>0.65487271639512035</c:v>
                </c:pt>
                <c:pt idx="3">
                  <c:v>0.54026999102597428</c:v>
                </c:pt>
                <c:pt idx="4">
                  <c:v>0.42566726565682828</c:v>
                </c:pt>
                <c:pt idx="5">
                  <c:v>0.31106454028768216</c:v>
                </c:pt>
                <c:pt idx="6">
                  <c:v>0.19646181491853612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16-41AB-8180-31B22C05356A}"/>
            </c:ext>
          </c:extLst>
        </c:ser>
        <c:ser>
          <c:idx val="4"/>
          <c:order val="4"/>
          <c:tx>
            <c:strRef>
              <c:f>Sheet1!$P$31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Sheet1!$Q$31:$W$31</c:f>
              <c:numCache>
                <c:formatCode>General</c:formatCode>
                <c:ptCount val="7"/>
                <c:pt idx="0">
                  <c:v>1</c:v>
                </c:pt>
                <c:pt idx="1">
                  <c:v>0.77600536251013952</c:v>
                </c:pt>
                <c:pt idx="2">
                  <c:v>0.55201072502027915</c:v>
                </c:pt>
                <c:pt idx="3">
                  <c:v>0.45540884814173027</c:v>
                </c:pt>
                <c:pt idx="4">
                  <c:v>0.35880697126318145</c:v>
                </c:pt>
                <c:pt idx="5">
                  <c:v>0.26220509438463263</c:v>
                </c:pt>
                <c:pt idx="6">
                  <c:v>0.16560321750608376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16-41AB-8180-31B22C05356A}"/>
            </c:ext>
          </c:extLst>
        </c:ser>
        <c:ser>
          <c:idx val="5"/>
          <c:order val="5"/>
          <c:tx>
            <c:strRef>
              <c:f>Sheet1!$P$32</c:f>
              <c:strCache>
                <c:ptCount val="1"/>
                <c:pt idx="0">
                  <c:v>RI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Sheet1!$Q$32:$W$32</c:f>
              <c:numCache>
                <c:formatCode>General</c:formatCode>
                <c:ptCount val="7"/>
                <c:pt idx="0">
                  <c:v>1</c:v>
                </c:pt>
                <c:pt idx="1">
                  <c:v>0.82366740709424047</c:v>
                </c:pt>
                <c:pt idx="2">
                  <c:v>0.64733481418848104</c:v>
                </c:pt>
                <c:pt idx="3">
                  <c:v>0.47100222128272151</c:v>
                </c:pt>
                <c:pt idx="4">
                  <c:v>0.37109265919244727</c:v>
                </c:pt>
                <c:pt idx="5">
                  <c:v>0.27118309710217298</c:v>
                </c:pt>
                <c:pt idx="6">
                  <c:v>0.17127353501189868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16-41AB-8180-31B22C05356A}"/>
            </c:ext>
          </c:extLst>
        </c:ser>
        <c:ser>
          <c:idx val="6"/>
          <c:order val="6"/>
          <c:tx>
            <c:strRef>
              <c:f>Sheet1!$P$33</c:f>
              <c:strCache>
                <c:ptCount val="1"/>
                <c:pt idx="0">
                  <c:v>NY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Sheet1!$Q$33:$W$33</c:f>
              <c:numCache>
                <c:formatCode>General</c:formatCode>
                <c:ptCount val="7"/>
                <c:pt idx="0">
                  <c:v>1</c:v>
                </c:pt>
                <c:pt idx="1">
                  <c:v>0.86807506404808832</c:v>
                </c:pt>
                <c:pt idx="2">
                  <c:v>0.73615012809617664</c:v>
                </c:pt>
                <c:pt idx="3">
                  <c:v>0.59812197907814357</c:v>
                </c:pt>
                <c:pt idx="4">
                  <c:v>0.4600938300601104</c:v>
                </c:pt>
                <c:pt idx="5">
                  <c:v>0.32206568104207728</c:v>
                </c:pt>
                <c:pt idx="6">
                  <c:v>0.18403753202404421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16-41AB-8180-31B22C05356A}"/>
            </c:ext>
          </c:extLst>
        </c:ser>
        <c:ser>
          <c:idx val="7"/>
          <c:order val="7"/>
          <c:tx>
            <c:strRef>
              <c:f>Sheet1!$P$34</c:f>
              <c:strCache>
                <c:ptCount val="1"/>
                <c:pt idx="0">
                  <c:v>NJ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Sheet1!$Q$34:$W$34</c:f>
              <c:numCache>
                <c:formatCode>General</c:formatCode>
                <c:ptCount val="7"/>
                <c:pt idx="0">
                  <c:v>1</c:v>
                </c:pt>
                <c:pt idx="1">
                  <c:v>0.86966910445878365</c:v>
                </c:pt>
                <c:pt idx="2">
                  <c:v>0.73933820891756719</c:v>
                </c:pt>
                <c:pt idx="3">
                  <c:v>0.60900731337635083</c:v>
                </c:pt>
                <c:pt idx="4">
                  <c:v>0.47867641783513443</c:v>
                </c:pt>
                <c:pt idx="5">
                  <c:v>0.34834552229391796</c:v>
                </c:pt>
                <c:pt idx="6">
                  <c:v>0.21801462675270136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16-41AB-8180-31B22C05356A}"/>
            </c:ext>
          </c:extLst>
        </c:ser>
        <c:ser>
          <c:idx val="8"/>
          <c:order val="8"/>
          <c:tx>
            <c:strRef>
              <c:f>Sheet1!$P$35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Sheet1!$Q$35:$W$35</c:f>
              <c:numCache>
                <c:formatCode>General</c:formatCode>
                <c:ptCount val="7"/>
                <c:pt idx="0">
                  <c:v>1</c:v>
                </c:pt>
                <c:pt idx="1">
                  <c:v>0.95255674738004603</c:v>
                </c:pt>
                <c:pt idx="2">
                  <c:v>0.81353495181647173</c:v>
                </c:pt>
                <c:pt idx="3">
                  <c:v>0.67451315625289743</c:v>
                </c:pt>
                <c:pt idx="4">
                  <c:v>0.53549136068932313</c:v>
                </c:pt>
                <c:pt idx="5">
                  <c:v>0.39646956512574877</c:v>
                </c:pt>
                <c:pt idx="6">
                  <c:v>0.25744776956217458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16-41AB-8180-31B22C05356A}"/>
            </c:ext>
          </c:extLst>
        </c:ser>
        <c:ser>
          <c:idx val="9"/>
          <c:order val="9"/>
          <c:tx>
            <c:strRef>
              <c:f>Sheet1!$P$36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Sheet1!$Q$36:$W$36</c:f>
              <c:numCache>
                <c:formatCode>General</c:formatCode>
                <c:ptCount val="7"/>
                <c:pt idx="0">
                  <c:v>1</c:v>
                </c:pt>
                <c:pt idx="1">
                  <c:v>0.91670386877037013</c:v>
                </c:pt>
                <c:pt idx="2">
                  <c:v>0.83340773754074005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16-41AB-8180-31B22C05356A}"/>
            </c:ext>
          </c:extLst>
        </c:ser>
        <c:ser>
          <c:idx val="10"/>
          <c:order val="10"/>
          <c:tx>
            <c:strRef>
              <c:f>Sheet1!$P$37</c:f>
              <c:strCache>
                <c:ptCount val="1"/>
                <c:pt idx="0">
                  <c:v>MD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Sheet1!$Q$37:$W$37</c:f>
              <c:numCache>
                <c:formatCode>General</c:formatCode>
                <c:ptCount val="7"/>
                <c:pt idx="0">
                  <c:v>1</c:v>
                </c:pt>
                <c:pt idx="1">
                  <c:v>0.9483834577963981</c:v>
                </c:pt>
                <c:pt idx="2">
                  <c:v>0.8967669155927962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16-41AB-8180-31B22C05356A}"/>
            </c:ext>
          </c:extLst>
        </c:ser>
        <c:ser>
          <c:idx val="11"/>
          <c:order val="11"/>
          <c:tx>
            <c:strRef>
              <c:f>Sheet1!$P$38</c:f>
              <c:strCache>
                <c:ptCount val="1"/>
                <c:pt idx="0">
                  <c:v>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Sheet1!$Q$38:$W$38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16-41AB-8180-31B22C05356A}"/>
            </c:ext>
          </c:extLst>
        </c:ser>
        <c:ser>
          <c:idx val="12"/>
          <c:order val="12"/>
          <c:tx>
            <c:strRef>
              <c:f>Sheet1!$P$39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Sheet1!$Q$39:$W$39</c:f>
              <c:numCache>
                <c:formatCode>General</c:formatCode>
                <c:ptCount val="7"/>
                <c:pt idx="0">
                  <c:v>1</c:v>
                </c:pt>
                <c:pt idx="1">
                  <c:v>0.75444848440997125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16-41AB-8180-31B22C05356A}"/>
            </c:ext>
          </c:extLst>
        </c:ser>
        <c:ser>
          <c:idx val="13"/>
          <c:order val="13"/>
          <c:tx>
            <c:strRef>
              <c:f>Sheet1!$P$40</c:f>
              <c:strCache>
                <c:ptCount val="1"/>
                <c:pt idx="0">
                  <c:v>LA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Sheet1!$Q$40:$W$40</c:f>
              <c:numCache>
                <c:formatCode>General</c:formatCode>
                <c:ptCount val="7"/>
                <c:pt idx="0">
                  <c:v>1</c:v>
                </c:pt>
                <c:pt idx="1">
                  <c:v>0.8108339577474426</c:v>
                </c:pt>
                <c:pt idx="2">
                  <c:v>0.62166791549488509</c:v>
                </c:pt>
                <c:pt idx="3">
                  <c:v>0.46625093662116379</c:v>
                </c:pt>
                <c:pt idx="4">
                  <c:v>0.31083395774744255</c:v>
                </c:pt>
                <c:pt idx="5">
                  <c:v>0.15541697887372127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16-41AB-8180-31B22C05356A}"/>
            </c:ext>
          </c:extLst>
        </c:ser>
        <c:ser>
          <c:idx val="14"/>
          <c:order val="14"/>
          <c:tx>
            <c:strRef>
              <c:f>Sheet1!$P$41</c:f>
              <c:strCache>
                <c:ptCount val="1"/>
                <c:pt idx="0">
                  <c:v>MI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Sheet1!$Q$41:$W$41</c:f>
              <c:numCache>
                <c:formatCode>General</c:formatCode>
                <c:ptCount val="7"/>
                <c:pt idx="0">
                  <c:v>1</c:v>
                </c:pt>
                <c:pt idx="1">
                  <c:v>0.88350540983043502</c:v>
                </c:pt>
                <c:pt idx="2">
                  <c:v>0.70680432786434799</c:v>
                </c:pt>
                <c:pt idx="3">
                  <c:v>0.53010324589826108</c:v>
                </c:pt>
                <c:pt idx="4">
                  <c:v>0.35340216393217405</c:v>
                </c:pt>
                <c:pt idx="5">
                  <c:v>0.17670108196608705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16-41AB-8180-31B22C05356A}"/>
            </c:ext>
          </c:extLst>
        </c:ser>
        <c:ser>
          <c:idx val="15"/>
          <c:order val="15"/>
          <c:tx>
            <c:strRef>
              <c:f>Sheet1!$P$42</c:f>
              <c:strCache>
                <c:ptCount val="1"/>
                <c:pt idx="0">
                  <c:v>MN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Sheet1!$Q$42:$W$42</c:f>
              <c:numCache>
                <c:formatCode>General</c:formatCode>
                <c:ptCount val="7"/>
                <c:pt idx="0">
                  <c:v>1</c:v>
                </c:pt>
                <c:pt idx="1">
                  <c:v>0.77386365677335112</c:v>
                </c:pt>
                <c:pt idx="2">
                  <c:v>0.66331170580572951</c:v>
                </c:pt>
                <c:pt idx="3">
                  <c:v>0.55275975483810791</c:v>
                </c:pt>
                <c:pt idx="4">
                  <c:v>0.44220780387048636</c:v>
                </c:pt>
                <c:pt idx="5">
                  <c:v>0.33165585290286476</c:v>
                </c:pt>
                <c:pt idx="6">
                  <c:v>0.22110390193524315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16-41AB-8180-31B22C05356A}"/>
            </c:ext>
          </c:extLst>
        </c:ser>
        <c:ser>
          <c:idx val="16"/>
          <c:order val="16"/>
          <c:tx>
            <c:strRef>
              <c:f>Sheet1!$P$43</c:f>
              <c:strCache>
                <c:ptCount val="1"/>
                <c:pt idx="0">
                  <c:v>NM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Sheet1!$Q$43:$W$43</c:f>
              <c:numCache>
                <c:formatCode>General</c:formatCode>
                <c:ptCount val="7"/>
                <c:pt idx="0">
                  <c:v>1</c:v>
                </c:pt>
                <c:pt idx="1">
                  <c:v>0.83428630541205184</c:v>
                </c:pt>
                <c:pt idx="2">
                  <c:v>0.66857261082410369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16-41AB-8180-31B22C05356A}"/>
            </c:ext>
          </c:extLst>
        </c:ser>
        <c:ser>
          <c:idx val="17"/>
          <c:order val="17"/>
          <c:tx>
            <c:strRef>
              <c:f>Sheet1!$P$44</c:f>
              <c:strCache>
                <c:ptCount val="1"/>
                <c:pt idx="0">
                  <c:v>CO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Sheet1!$Q$44:$W$44</c:f>
              <c:numCache>
                <c:formatCode>General</c:formatCode>
                <c:ptCount val="7"/>
                <c:pt idx="0">
                  <c:v>1</c:v>
                </c:pt>
                <c:pt idx="1">
                  <c:v>0.76094596290718963</c:v>
                </c:pt>
                <c:pt idx="2">
                  <c:v>0.52189192581437938</c:v>
                </c:pt>
                <c:pt idx="3">
                  <c:v>0.41751354065150348</c:v>
                </c:pt>
                <c:pt idx="4">
                  <c:v>0.31313515548862758</c:v>
                </c:pt>
                <c:pt idx="5">
                  <c:v>0.20875677032575171</c:v>
                </c:pt>
                <c:pt idx="6">
                  <c:v>0.10437838516287584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16-41AB-8180-31B22C05356A}"/>
            </c:ext>
          </c:extLst>
        </c:ser>
        <c:ser>
          <c:idx val="18"/>
          <c:order val="18"/>
          <c:tx>
            <c:strRef>
              <c:f>Sheet1!$P$45</c:f>
              <c:strCache>
                <c:ptCount val="1"/>
                <c:pt idx="0">
                  <c:v>MT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Sheet1!$Q$45:$W$45</c:f>
              <c:numCache>
                <c:formatCode>General</c:formatCode>
                <c:ptCount val="7"/>
                <c:pt idx="0">
                  <c:v>1</c:v>
                </c:pt>
                <c:pt idx="1">
                  <c:v>0.83333333333333326</c:v>
                </c:pt>
                <c:pt idx="2">
                  <c:v>0.66666666666666663</c:v>
                </c:pt>
                <c:pt idx="3">
                  <c:v>0.49999999999999989</c:v>
                </c:pt>
                <c:pt idx="4">
                  <c:v>0.3333333333333332</c:v>
                </c:pt>
                <c:pt idx="5">
                  <c:v>0.16666666666666652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16-41AB-8180-31B22C05356A}"/>
            </c:ext>
          </c:extLst>
        </c:ser>
        <c:ser>
          <c:idx val="19"/>
          <c:order val="19"/>
          <c:tx>
            <c:strRef>
              <c:f>Sheet1!$P$46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Sheet1!$Q$46:$W$46</c:f>
              <c:numCache>
                <c:formatCode>General</c:formatCode>
                <c:ptCount val="7"/>
                <c:pt idx="0">
                  <c:v>1</c:v>
                </c:pt>
                <c:pt idx="1">
                  <c:v>0.7340957415804461</c:v>
                </c:pt>
                <c:pt idx="2">
                  <c:v>0.46819148316089221</c:v>
                </c:pt>
                <c:pt idx="3">
                  <c:v>0.36178432789705306</c:v>
                </c:pt>
                <c:pt idx="4">
                  <c:v>0.25537717263321391</c:v>
                </c:pt>
                <c:pt idx="5">
                  <c:v>0.14897001736937482</c:v>
                </c:pt>
                <c:pt idx="6">
                  <c:v>4.2562862105535691E-2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16-41AB-8180-31B22C05356A}"/>
            </c:ext>
          </c:extLst>
        </c:ser>
        <c:ser>
          <c:idx val="20"/>
          <c:order val="20"/>
          <c:tx>
            <c:strRef>
              <c:f>Sheet1!$P$47</c:f>
              <c:strCache>
                <c:ptCount val="1"/>
                <c:pt idx="0">
                  <c:v>OR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Sheet1!$Q$47:$W$47</c:f>
              <c:numCache>
                <c:formatCode>General</c:formatCode>
                <c:ptCount val="7"/>
                <c:pt idx="0">
                  <c:v>1</c:v>
                </c:pt>
                <c:pt idx="1">
                  <c:v>0.80171011741629772</c:v>
                </c:pt>
                <c:pt idx="2">
                  <c:v>0.60342023483259566</c:v>
                </c:pt>
                <c:pt idx="3">
                  <c:v>0.40513035224889343</c:v>
                </c:pt>
                <c:pt idx="4">
                  <c:v>0.33147028820364005</c:v>
                </c:pt>
                <c:pt idx="5">
                  <c:v>0.25781022415838667</c:v>
                </c:pt>
                <c:pt idx="6">
                  <c:v>0.18415016011313334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16-41AB-8180-31B22C05356A}"/>
            </c:ext>
          </c:extLst>
        </c:ser>
        <c:ser>
          <c:idx val="21"/>
          <c:order val="21"/>
          <c:tx>
            <c:strRef>
              <c:f>Sheet1!$P$48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Sheet1!$Q$48:$W$48</c:f>
              <c:numCache>
                <c:formatCode>General</c:formatCode>
                <c:ptCount val="7"/>
                <c:pt idx="0">
                  <c:v>1</c:v>
                </c:pt>
                <c:pt idx="1">
                  <c:v>0.80168213591906978</c:v>
                </c:pt>
                <c:pt idx="2">
                  <c:v>0.60336427183813945</c:v>
                </c:pt>
                <c:pt idx="3">
                  <c:v>0.45252320387860462</c:v>
                </c:pt>
                <c:pt idx="4">
                  <c:v>0.30168213591906973</c:v>
                </c:pt>
                <c:pt idx="5">
                  <c:v>0.15084106795953486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16-41AB-8180-31B22C05356A}"/>
            </c:ext>
          </c:extLst>
        </c:ser>
        <c:ser>
          <c:idx val="22"/>
          <c:order val="22"/>
          <c:tx>
            <c:strRef>
              <c:f>Sheet1!$P$49</c:f>
              <c:strCache>
                <c:ptCount val="1"/>
                <c:pt idx="0">
                  <c:v>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Sheet1!$Q$49:$W$49</c:f>
              <c:numCache>
                <c:formatCode>General</c:formatCode>
                <c:ptCount val="7"/>
                <c:pt idx="0">
                  <c:v>1</c:v>
                </c:pt>
                <c:pt idx="1">
                  <c:v>0.83060185140907983</c:v>
                </c:pt>
                <c:pt idx="2">
                  <c:v>0.66120370281815966</c:v>
                </c:pt>
                <c:pt idx="3">
                  <c:v>0.49590277711361974</c:v>
                </c:pt>
                <c:pt idx="4">
                  <c:v>0.33060185140907983</c:v>
                </c:pt>
                <c:pt idx="5">
                  <c:v>0.16530092570453991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16-41AB-8180-31B22C053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316664"/>
        <c:axId val="842317976"/>
      </c:lineChart>
      <c:catAx>
        <c:axId val="84231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17976"/>
        <c:crosses val="autoZero"/>
        <c:auto val="1"/>
        <c:lblAlgn val="ctr"/>
        <c:lblOffset val="100"/>
        <c:noMultiLvlLbl val="0"/>
      </c:catAx>
      <c:valAx>
        <c:axId val="84231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1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466725</xdr:colOff>
      <xdr:row>26</xdr:row>
      <xdr:rowOff>47624</xdr:rowOff>
    </xdr:from>
    <xdr:to>
      <xdr:col>30</xdr:col>
      <xdr:colOff>25400</xdr:colOff>
      <xdr:row>44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93479-3709-8DC1-C51D-31D750EB8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813E-890A-465B-9D3B-99B9DE19AA4C}">
  <dimension ref="A1:BP49"/>
  <sheetViews>
    <sheetView tabSelected="1" workbookViewId="0">
      <selection activeCell="P27" sqref="P27:W49"/>
    </sheetView>
  </sheetViews>
  <sheetFormatPr defaultRowHeight="14.5" x14ac:dyDescent="0.35"/>
  <cols>
    <col min="5" max="5" width="18.81640625" customWidth="1"/>
  </cols>
  <sheetData>
    <row r="1" spans="1:68" x14ac:dyDescent="0.35">
      <c r="A1">
        <v>2019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Z1" t="s">
        <v>2</v>
      </c>
      <c r="AB1" t="s">
        <v>1</v>
      </c>
      <c r="AD1" t="s">
        <v>3</v>
      </c>
      <c r="AF1" t="s">
        <v>4</v>
      </c>
      <c r="AH1" t="s">
        <v>5</v>
      </c>
      <c r="AJ1" t="s">
        <v>6</v>
      </c>
      <c r="AL1" t="s">
        <v>7</v>
      </c>
      <c r="AN1" t="s">
        <v>8</v>
      </c>
      <c r="AP1" t="s">
        <v>9</v>
      </c>
      <c r="AR1" t="s">
        <v>12</v>
      </c>
      <c r="AT1" t="s">
        <v>14</v>
      </c>
      <c r="AV1" t="s">
        <v>16</v>
      </c>
      <c r="AX1" t="s">
        <v>17</v>
      </c>
      <c r="AZ1" t="s">
        <v>18</v>
      </c>
      <c r="BB1" t="s">
        <v>19</v>
      </c>
      <c r="BD1" t="s">
        <v>20</v>
      </c>
      <c r="BF1" t="s">
        <v>21</v>
      </c>
      <c r="BH1" t="s">
        <v>22</v>
      </c>
      <c r="BJ1" t="s">
        <v>23</v>
      </c>
      <c r="BL1" t="s">
        <v>24</v>
      </c>
      <c r="BN1" t="s">
        <v>25</v>
      </c>
      <c r="BP1" t="s">
        <v>26</v>
      </c>
    </row>
    <row r="2" spans="1:68" x14ac:dyDescent="0.35">
      <c r="A2">
        <f>INDEX($J$27:$J$49,MATCH(B2,$B$27:$B$49,0))</f>
        <v>3.9344740964782501</v>
      </c>
      <c r="B2" t="s">
        <v>2</v>
      </c>
      <c r="C2">
        <v>2030</v>
      </c>
      <c r="D2">
        <v>45</v>
      </c>
      <c r="E2" t="s">
        <v>0</v>
      </c>
      <c r="G2">
        <v>2050</v>
      </c>
      <c r="H2">
        <v>80</v>
      </c>
      <c r="I2" t="s">
        <v>0</v>
      </c>
      <c r="P2" t="s">
        <v>2</v>
      </c>
      <c r="Q2">
        <f>A2</f>
        <v>3.9344740964782501</v>
      </c>
      <c r="R2" s="7">
        <f>(S2+Q2)/2</f>
        <v>3.3844764282899336</v>
      </c>
      <c r="S2" s="5">
        <f>(1-D2/100)*INDEX($G$27:$G$49,MATCH(B2,$B$27:$B$49,0))</f>
        <v>2.8344787601016166</v>
      </c>
      <c r="T2" s="7">
        <f>(U2+S2)/2</f>
        <v>2.3835389573581773</v>
      </c>
      <c r="U2" s="8">
        <f>(S2+W2)/2</f>
        <v>1.9325991546147385</v>
      </c>
      <c r="V2" s="7">
        <f>(W2+U2)/2</f>
        <v>1.4816593518712993</v>
      </c>
      <c r="W2" s="5">
        <f t="shared" ref="W2:W9" si="0">(1-H2/100)*INDEX($G$27:$G$49,MATCH(B2,$B$27:$B$49,0))</f>
        <v>1.0307195491278602</v>
      </c>
      <c r="Y2">
        <v>2020</v>
      </c>
      <c r="Z2">
        <v>3.9344740964782501</v>
      </c>
      <c r="AA2">
        <v>2020</v>
      </c>
      <c r="AB2">
        <v>3.8001275185765993</v>
      </c>
      <c r="AC2">
        <v>2020</v>
      </c>
      <c r="AD2">
        <v>1.641924713857098</v>
      </c>
      <c r="AE2">
        <v>2020</v>
      </c>
      <c r="AF2">
        <v>17.270611239310281</v>
      </c>
      <c r="AG2">
        <v>2020</v>
      </c>
      <c r="AH2">
        <v>9.9904531977852447</v>
      </c>
      <c r="AI2">
        <v>2020</v>
      </c>
      <c r="AJ2">
        <v>2.8268836884880937</v>
      </c>
      <c r="AK2">
        <v>2020</v>
      </c>
      <c r="AL2">
        <v>46.083077904223039</v>
      </c>
      <c r="AM2">
        <v>2020</v>
      </c>
      <c r="AN2">
        <v>27.499632368303125</v>
      </c>
      <c r="AO2">
        <v>2020</v>
      </c>
      <c r="AP2">
        <v>59.655224161621888</v>
      </c>
      <c r="AQ2">
        <v>2020</v>
      </c>
      <c r="AR2">
        <v>3.7062477696921379</v>
      </c>
      <c r="AS2">
        <v>2020</v>
      </c>
      <c r="AT2">
        <v>15.51040860917467</v>
      </c>
      <c r="AU2">
        <v>2020</v>
      </c>
      <c r="AV2">
        <v>29.118278179900663</v>
      </c>
      <c r="AW2">
        <v>2020</v>
      </c>
      <c r="AX2">
        <v>33.437537285512121</v>
      </c>
      <c r="AY2">
        <v>2020</v>
      </c>
      <c r="AZ2">
        <v>53.152541451827183</v>
      </c>
      <c r="BA2">
        <v>2020</v>
      </c>
      <c r="BB2">
        <v>43.42908558918753</v>
      </c>
      <c r="BC2">
        <v>2020</v>
      </c>
      <c r="BD2">
        <v>25.11537003495971</v>
      </c>
      <c r="BE2">
        <v>2020</v>
      </c>
      <c r="BF2">
        <v>13.347840293687193</v>
      </c>
      <c r="BG2">
        <v>2020</v>
      </c>
      <c r="BH2">
        <v>25.016549082995486</v>
      </c>
      <c r="BI2">
        <v>2020</v>
      </c>
      <c r="BJ2">
        <v>8.8051077681584129</v>
      </c>
      <c r="BK2">
        <v>2020</v>
      </c>
      <c r="BL2">
        <v>22.955313363282276</v>
      </c>
      <c r="BM2">
        <v>2020</v>
      </c>
      <c r="BN2">
        <v>11.410685109588842</v>
      </c>
      <c r="BO2">
        <v>2020</v>
      </c>
      <c r="BP2">
        <v>97.681192718009285</v>
      </c>
    </row>
    <row r="3" spans="1:68" x14ac:dyDescent="0.35">
      <c r="A3">
        <f t="shared" ref="A3:A24" si="1">INDEX($J$27:$J$49,MATCH(B3,$B$27:$B$49,0))</f>
        <v>3.8001275185765993</v>
      </c>
      <c r="B3" t="s">
        <v>1</v>
      </c>
      <c r="C3">
        <v>2025</v>
      </c>
      <c r="D3">
        <v>20</v>
      </c>
      <c r="E3" t="s">
        <v>0</v>
      </c>
      <c r="G3">
        <v>2050</v>
      </c>
      <c r="H3">
        <v>80</v>
      </c>
      <c r="I3" t="s">
        <v>0</v>
      </c>
      <c r="P3" t="s">
        <v>1</v>
      </c>
      <c r="Q3">
        <f t="shared" ref="Q3:Q24" si="2">A3</f>
        <v>3.8001275185765993</v>
      </c>
      <c r="R3" s="5">
        <f>(1-D3/100)*INDEX($G$27:$G$49,MATCH(B3,$B$27:$B$49,0))</f>
        <v>3.1865341251398731</v>
      </c>
      <c r="S3" s="10">
        <f>($W3-$R3)/5+R3</f>
        <v>2.708554006368892</v>
      </c>
      <c r="T3" s="10">
        <f t="shared" ref="T3:V3" si="3">($W3-$R3)/5+S3</f>
        <v>2.2305738875979109</v>
      </c>
      <c r="U3" s="10">
        <f t="shared" si="3"/>
        <v>1.7525937688269297</v>
      </c>
      <c r="V3" s="10">
        <f t="shared" si="3"/>
        <v>1.2746136500559486</v>
      </c>
      <c r="W3" s="5">
        <f t="shared" si="0"/>
        <v>0.79663353128496805</v>
      </c>
      <c r="Y3">
        <v>2025</v>
      </c>
      <c r="Z3">
        <v>3.3844764282899336</v>
      </c>
      <c r="AA3">
        <v>2025</v>
      </c>
      <c r="AB3">
        <v>3.1865341251398731</v>
      </c>
      <c r="AC3">
        <v>2025</v>
      </c>
      <c r="AD3">
        <v>1.2682253483555281</v>
      </c>
      <c r="AE3">
        <v>2025</v>
      </c>
      <c r="AF3">
        <v>14.29033166770075</v>
      </c>
      <c r="AG3">
        <v>2025</v>
      </c>
      <c r="AH3">
        <v>7.7526452553879217</v>
      </c>
      <c r="AI3">
        <v>2025</v>
      </c>
      <c r="AJ3">
        <v>2.3284119578539908</v>
      </c>
      <c r="AK3">
        <v>2025</v>
      </c>
      <c r="AL3">
        <v>40.003570803241459</v>
      </c>
      <c r="AM3">
        <v>2025</v>
      </c>
      <c r="AN3">
        <v>23.915580654687957</v>
      </c>
      <c r="AO3">
        <v>2025</v>
      </c>
      <c r="AP3">
        <v>56.824986291622082</v>
      </c>
      <c r="AQ3">
        <v>2025</v>
      </c>
      <c r="AR3">
        <v>3.3975316690983384</v>
      </c>
      <c r="AS3">
        <v>2025</v>
      </c>
      <c r="AT3">
        <v>14.709814948604095</v>
      </c>
      <c r="AU3">
        <v>2025</v>
      </c>
      <c r="AV3">
        <v>23.294622543920532</v>
      </c>
      <c r="AW3">
        <v>2025</v>
      </c>
      <c r="AX3">
        <v>25.226899327456525</v>
      </c>
      <c r="AY3">
        <v>2025</v>
      </c>
      <c r="AZ3">
        <v>43.097885549720033</v>
      </c>
      <c r="BA3">
        <v>2025</v>
      </c>
      <c r="BB3">
        <v>38.369832062036167</v>
      </c>
      <c r="BC3">
        <v>2025</v>
      </c>
      <c r="BD3">
        <v>19.435872096469769</v>
      </c>
      <c r="BE3">
        <v>2025</v>
      </c>
      <c r="BF3">
        <v>11.135920363850406</v>
      </c>
      <c r="BG3">
        <v>2025</v>
      </c>
      <c r="BH3">
        <v>19.036242030574972</v>
      </c>
      <c r="BI3">
        <v>2025</v>
      </c>
      <c r="BJ3">
        <v>7.3375898067986771</v>
      </c>
      <c r="BK3">
        <v>2025</v>
      </c>
      <c r="BL3">
        <v>16.851397786630226</v>
      </c>
      <c r="BM3">
        <v>2025</v>
      </c>
      <c r="BN3">
        <v>9.1480616990088706</v>
      </c>
      <c r="BO3">
        <v>2025</v>
      </c>
      <c r="BP3">
        <v>78.309267217295968</v>
      </c>
    </row>
    <row r="4" spans="1:68" x14ac:dyDescent="0.35">
      <c r="A4">
        <f t="shared" si="1"/>
        <v>1.641924713857098</v>
      </c>
      <c r="B4" t="s">
        <v>3</v>
      </c>
      <c r="C4">
        <v>2030</v>
      </c>
      <c r="D4">
        <v>40</v>
      </c>
      <c r="E4" t="s">
        <v>0</v>
      </c>
      <c r="G4">
        <v>2050</v>
      </c>
      <c r="H4">
        <v>80</v>
      </c>
      <c r="I4" t="s">
        <v>0</v>
      </c>
      <c r="P4" t="s">
        <v>3</v>
      </c>
      <c r="Q4">
        <f t="shared" si="2"/>
        <v>1.641924713857098</v>
      </c>
      <c r="R4" s="7">
        <f t="shared" ref="R4:R6" si="4">(S4+Q4)/2</f>
        <v>1.2682253483555281</v>
      </c>
      <c r="S4" s="5">
        <f>(1-D4/100)*INDEX($G$27:$G$49,MATCH(B4,$B$27:$B$49,0))</f>
        <v>0.89452598285395801</v>
      </c>
      <c r="T4" s="7">
        <f t="shared" ref="S4:V7" si="5">(U4+S4)/2</f>
        <v>0.74543831904496494</v>
      </c>
      <c r="U4" s="8">
        <f t="shared" ref="U4:U6" si="6">(S4+W4)/2</f>
        <v>0.59635065523597197</v>
      </c>
      <c r="V4" s="7">
        <f t="shared" ref="V4:V6" si="7">(W4+U4)/2</f>
        <v>0.44726299142697895</v>
      </c>
      <c r="W4" s="5">
        <f t="shared" si="0"/>
        <v>0.29817532761798593</v>
      </c>
      <c r="Y4">
        <v>2030</v>
      </c>
      <c r="Z4">
        <v>2.8344787601016166</v>
      </c>
      <c r="AA4">
        <v>2030</v>
      </c>
      <c r="AB4">
        <v>2.708554006368892</v>
      </c>
      <c r="AC4">
        <v>2030</v>
      </c>
      <c r="AD4">
        <v>0.89452598285395801</v>
      </c>
      <c r="AE4">
        <v>2030</v>
      </c>
      <c r="AF4">
        <v>11.310052096091219</v>
      </c>
      <c r="AG4">
        <v>2030</v>
      </c>
      <c r="AH4">
        <v>5.5148373129905988</v>
      </c>
      <c r="AI4">
        <v>2030</v>
      </c>
      <c r="AJ4">
        <v>1.8299402272198879</v>
      </c>
      <c r="AK4">
        <v>2030</v>
      </c>
      <c r="AL4">
        <v>33.924063702259879</v>
      </c>
      <c r="AM4">
        <v>2030</v>
      </c>
      <c r="AN4">
        <v>20.33152894107279</v>
      </c>
      <c r="AO4">
        <v>2030</v>
      </c>
      <c r="AP4">
        <v>48.531609913925884</v>
      </c>
      <c r="AQ4">
        <v>2030</v>
      </c>
      <c r="AR4">
        <v>3.0888155685045384</v>
      </c>
      <c r="AS4">
        <v>2030</v>
      </c>
      <c r="AT4">
        <v>13.909221288033521</v>
      </c>
      <c r="AU4">
        <v>2030</v>
      </c>
      <c r="AV4">
        <v>17.470966907940401</v>
      </c>
      <c r="AW4">
        <v>2030</v>
      </c>
      <c r="AY4">
        <v>2030</v>
      </c>
      <c r="AZ4">
        <v>33.043229647612876</v>
      </c>
      <c r="BA4">
        <v>2030</v>
      </c>
      <c r="BB4">
        <v>30.695865649628935</v>
      </c>
      <c r="BC4">
        <v>2030</v>
      </c>
      <c r="BD4">
        <v>16.65931893983123</v>
      </c>
      <c r="BE4">
        <v>2030</v>
      </c>
      <c r="BF4">
        <v>8.9240004340136174</v>
      </c>
      <c r="BG4">
        <v>2030</v>
      </c>
      <c r="BH4">
        <v>13.055934978154459</v>
      </c>
      <c r="BI4">
        <v>2030</v>
      </c>
      <c r="BJ4">
        <v>5.8700718454389413</v>
      </c>
      <c r="BK4">
        <v>2030</v>
      </c>
      <c r="BL4">
        <v>10.747482209978177</v>
      </c>
      <c r="BM4">
        <v>2030</v>
      </c>
      <c r="BN4">
        <v>6.8854382884289009</v>
      </c>
      <c r="BO4">
        <v>2030</v>
      </c>
      <c r="BP4">
        <v>58.937341716582644</v>
      </c>
    </row>
    <row r="5" spans="1:68" x14ac:dyDescent="0.35">
      <c r="A5">
        <f t="shared" si="1"/>
        <v>17.270611239310281</v>
      </c>
      <c r="B5" t="s">
        <v>4</v>
      </c>
      <c r="C5">
        <v>2030</v>
      </c>
      <c r="D5">
        <v>50</v>
      </c>
      <c r="E5" t="s">
        <v>0</v>
      </c>
      <c r="G5">
        <v>2050</v>
      </c>
      <c r="H5">
        <v>85</v>
      </c>
      <c r="I5" t="s">
        <v>0</v>
      </c>
      <c r="P5" t="s">
        <v>4</v>
      </c>
      <c r="Q5">
        <f t="shared" si="2"/>
        <v>17.270611239310281</v>
      </c>
      <c r="R5" s="7">
        <f t="shared" si="4"/>
        <v>14.29033166770075</v>
      </c>
      <c r="S5" s="5">
        <f>(1-D5/100)*INDEX($G$27:$G$49,MATCH(B5,$B$27:$B$49,0))</f>
        <v>11.310052096091219</v>
      </c>
      <c r="T5" s="7">
        <f t="shared" si="5"/>
        <v>9.3307929792752553</v>
      </c>
      <c r="U5" s="8">
        <f t="shared" si="6"/>
        <v>7.3515338624592932</v>
      </c>
      <c r="V5" s="7">
        <f t="shared" si="7"/>
        <v>5.3722747456433293</v>
      </c>
      <c r="W5" s="5">
        <f t="shared" si="0"/>
        <v>3.3930156288273663</v>
      </c>
      <c r="Y5">
        <v>2035</v>
      </c>
      <c r="Z5">
        <v>2.3835389573581773</v>
      </c>
      <c r="AA5">
        <v>2035</v>
      </c>
      <c r="AB5">
        <v>2.2305738875979109</v>
      </c>
      <c r="AC5">
        <v>2035</v>
      </c>
      <c r="AD5">
        <v>0.74543831904496494</v>
      </c>
      <c r="AE5">
        <v>2035</v>
      </c>
      <c r="AF5">
        <v>9.3307929792752553</v>
      </c>
      <c r="AG5">
        <v>2035</v>
      </c>
      <c r="AH5">
        <v>4.5497407832172438</v>
      </c>
      <c r="AI5">
        <v>2035</v>
      </c>
      <c r="AJ5">
        <v>1.331468496585785</v>
      </c>
      <c r="AK5">
        <v>2035</v>
      </c>
      <c r="AL5">
        <v>27.563301758086151</v>
      </c>
      <c r="AM5">
        <v>2035</v>
      </c>
      <c r="AN5">
        <v>16.747477227457622</v>
      </c>
      <c r="AO5">
        <v>2035</v>
      </c>
      <c r="AP5">
        <v>40.238233536229686</v>
      </c>
      <c r="AQ5">
        <v>2035</v>
      </c>
      <c r="AS5">
        <v>2035</v>
      </c>
      <c r="AU5">
        <v>2035</v>
      </c>
      <c r="AV5">
        <v>11.647311271960268</v>
      </c>
      <c r="AW5">
        <v>2035</v>
      </c>
      <c r="AY5">
        <v>2035</v>
      </c>
      <c r="AZ5">
        <v>24.782422235709657</v>
      </c>
      <c r="BA5">
        <v>2035</v>
      </c>
      <c r="BB5">
        <v>23.021899237221703</v>
      </c>
      <c r="BC5">
        <v>2035</v>
      </c>
      <c r="BD5">
        <v>13.882765783192692</v>
      </c>
      <c r="BE5">
        <v>2035</v>
      </c>
      <c r="BG5">
        <v>2035</v>
      </c>
      <c r="BH5">
        <v>10.444747982523568</v>
      </c>
      <c r="BI5">
        <v>2035</v>
      </c>
      <c r="BJ5">
        <v>4.4025538840792056</v>
      </c>
      <c r="BK5">
        <v>2035</v>
      </c>
      <c r="BL5">
        <v>8.3048726168013189</v>
      </c>
      <c r="BM5">
        <v>2035</v>
      </c>
      <c r="BN5">
        <v>4.6228148778489304</v>
      </c>
      <c r="BO5">
        <v>2035</v>
      </c>
      <c r="BP5">
        <v>44.203006287436985</v>
      </c>
    </row>
    <row r="6" spans="1:68" x14ac:dyDescent="0.35">
      <c r="A6">
        <f t="shared" si="1"/>
        <v>9.9904531977852447</v>
      </c>
      <c r="B6" t="s">
        <v>5</v>
      </c>
      <c r="C6">
        <v>2030</v>
      </c>
      <c r="D6">
        <v>50</v>
      </c>
      <c r="E6" t="s">
        <v>0</v>
      </c>
      <c r="G6">
        <v>2050</v>
      </c>
      <c r="H6">
        <v>85</v>
      </c>
      <c r="I6" t="s">
        <v>0</v>
      </c>
      <c r="P6" t="s">
        <v>5</v>
      </c>
      <c r="Q6">
        <f t="shared" si="2"/>
        <v>9.9904531977852447</v>
      </c>
      <c r="R6" s="7">
        <f t="shared" si="4"/>
        <v>7.7526452553879217</v>
      </c>
      <c r="S6" s="5">
        <f>(1-D6/100)*INDEX($G$27:$G$49,MATCH(B6,$B$27:$B$49,0))</f>
        <v>5.5148373129905988</v>
      </c>
      <c r="T6" s="7">
        <f t="shared" si="5"/>
        <v>4.5497407832172438</v>
      </c>
      <c r="U6" s="8">
        <f t="shared" si="6"/>
        <v>3.5846442534438894</v>
      </c>
      <c r="V6" s="7">
        <f t="shared" si="7"/>
        <v>2.6195477236705349</v>
      </c>
      <c r="W6" s="5">
        <f t="shared" si="0"/>
        <v>1.65445119389718</v>
      </c>
      <c r="Y6">
        <v>2040</v>
      </c>
      <c r="Z6">
        <v>1.9325991546147385</v>
      </c>
      <c r="AA6">
        <v>2040</v>
      </c>
      <c r="AB6">
        <v>1.7525937688269297</v>
      </c>
      <c r="AC6">
        <v>2040</v>
      </c>
      <c r="AD6">
        <v>0.59635065523597197</v>
      </c>
      <c r="AE6">
        <v>2040</v>
      </c>
      <c r="AF6">
        <v>7.3515338624592932</v>
      </c>
      <c r="AG6">
        <v>2040</v>
      </c>
      <c r="AH6">
        <v>3.5846442534438894</v>
      </c>
      <c r="AI6">
        <v>2040</v>
      </c>
      <c r="AJ6">
        <v>1.0490357851888004</v>
      </c>
      <c r="AK6">
        <v>2040</v>
      </c>
      <c r="AL6">
        <v>21.202539813912423</v>
      </c>
      <c r="AM6">
        <v>2040</v>
      </c>
      <c r="AN6">
        <v>13.163425513842453</v>
      </c>
      <c r="AO6">
        <v>2040</v>
      </c>
      <c r="AP6">
        <v>31.944857158533488</v>
      </c>
      <c r="AQ6">
        <v>2040</v>
      </c>
      <c r="AS6">
        <v>2040</v>
      </c>
      <c r="AU6">
        <v>2040</v>
      </c>
      <c r="AV6">
        <v>5.8236556359801348</v>
      </c>
      <c r="AW6">
        <v>2040</v>
      </c>
      <c r="AY6">
        <v>2040</v>
      </c>
      <c r="AZ6">
        <v>16.521614823806438</v>
      </c>
      <c r="BA6">
        <v>2040</v>
      </c>
      <c r="BB6">
        <v>15.347932824814469</v>
      </c>
      <c r="BC6">
        <v>2040</v>
      </c>
      <c r="BD6">
        <v>11.106212626554154</v>
      </c>
      <c r="BE6">
        <v>2040</v>
      </c>
      <c r="BG6">
        <v>2040</v>
      </c>
      <c r="BH6">
        <v>7.8335609868926754</v>
      </c>
      <c r="BI6">
        <v>2040</v>
      </c>
      <c r="BJ6">
        <v>2.9350359227194698</v>
      </c>
      <c r="BK6">
        <v>2040</v>
      </c>
      <c r="BL6">
        <v>5.8622630236244602</v>
      </c>
      <c r="BM6">
        <v>2040</v>
      </c>
      <c r="BN6">
        <v>3.7823030818763974</v>
      </c>
      <c r="BO6">
        <v>2040</v>
      </c>
      <c r="BP6">
        <v>29.468670858291322</v>
      </c>
    </row>
    <row r="7" spans="1:68" x14ac:dyDescent="0.35">
      <c r="A7">
        <f t="shared" si="1"/>
        <v>2.8268836884880937</v>
      </c>
      <c r="B7" t="s">
        <v>6</v>
      </c>
      <c r="C7">
        <v>2035</v>
      </c>
      <c r="D7">
        <v>45</v>
      </c>
      <c r="E7" t="s">
        <v>0</v>
      </c>
      <c r="G7">
        <v>2050</v>
      </c>
      <c r="H7">
        <v>80</v>
      </c>
      <c r="I7" t="s">
        <v>0</v>
      </c>
      <c r="P7" t="s">
        <v>6</v>
      </c>
      <c r="Q7">
        <f t="shared" si="2"/>
        <v>2.8268836884880937</v>
      </c>
      <c r="R7" s="9">
        <f>(T7-Q7)/3+Q7</f>
        <v>2.3284119578539908</v>
      </c>
      <c r="S7" s="7">
        <f t="shared" si="5"/>
        <v>1.8299402272198879</v>
      </c>
      <c r="T7" s="5">
        <f>(1-D7/100)*INDEX($G$27:$G$49,MATCH(B7,$B$27:$B$49,0))</f>
        <v>1.331468496585785</v>
      </c>
      <c r="U7" s="9">
        <f>(W7-T7)/3+T7</f>
        <v>1.0490357851888004</v>
      </c>
      <c r="V7" s="7">
        <f t="shared" si="5"/>
        <v>0.76660307379181558</v>
      </c>
      <c r="W7" s="5">
        <f t="shared" si="0"/>
        <v>0.4841703623948308</v>
      </c>
      <c r="Y7">
        <v>2045</v>
      </c>
      <c r="Z7">
        <v>1.4816593518712993</v>
      </c>
      <c r="AA7">
        <v>2045</v>
      </c>
      <c r="AB7">
        <v>1.2746136500559486</v>
      </c>
      <c r="AC7">
        <v>2045</v>
      </c>
      <c r="AD7">
        <v>0.44726299142697895</v>
      </c>
      <c r="AE7">
        <v>2045</v>
      </c>
      <c r="AF7">
        <v>5.3722747456433293</v>
      </c>
      <c r="AG7">
        <v>2045</v>
      </c>
      <c r="AH7">
        <v>2.6195477236705349</v>
      </c>
      <c r="AI7">
        <v>2045</v>
      </c>
      <c r="AJ7">
        <v>0.76660307379181558</v>
      </c>
      <c r="AK7">
        <v>2045</v>
      </c>
      <c r="AL7">
        <v>14.841777869738698</v>
      </c>
      <c r="AM7">
        <v>2045</v>
      </c>
      <c r="AN7">
        <v>9.5793738002272839</v>
      </c>
      <c r="AO7">
        <v>2045</v>
      </c>
      <c r="AP7">
        <v>23.651480780837289</v>
      </c>
      <c r="AQ7">
        <v>2045</v>
      </c>
      <c r="AS7">
        <v>2045</v>
      </c>
      <c r="AU7">
        <v>2045</v>
      </c>
      <c r="AV7">
        <v>0</v>
      </c>
      <c r="AW7">
        <v>2045</v>
      </c>
      <c r="AY7">
        <v>2045</v>
      </c>
      <c r="AZ7">
        <v>8.2608074119032189</v>
      </c>
      <c r="BA7">
        <v>2045</v>
      </c>
      <c r="BB7">
        <v>7.6739664124072355</v>
      </c>
      <c r="BC7">
        <v>2045</v>
      </c>
      <c r="BD7">
        <v>8.3296594699156152</v>
      </c>
      <c r="BE7">
        <v>2045</v>
      </c>
      <c r="BG7">
        <v>2045</v>
      </c>
      <c r="BH7">
        <v>5.222373991261783</v>
      </c>
      <c r="BI7">
        <v>2045</v>
      </c>
      <c r="BJ7">
        <v>1.4675179613597342</v>
      </c>
      <c r="BK7">
        <v>2045</v>
      </c>
      <c r="BL7">
        <v>3.4196534304476023</v>
      </c>
      <c r="BM7">
        <v>2045</v>
      </c>
      <c r="BN7">
        <v>2.9417912859038644</v>
      </c>
      <c r="BO7">
        <v>2045</v>
      </c>
      <c r="BP7">
        <v>14.734335429145661</v>
      </c>
    </row>
    <row r="8" spans="1:68" x14ac:dyDescent="0.35">
      <c r="A8">
        <f t="shared" si="1"/>
        <v>46.083077904223039</v>
      </c>
      <c r="B8" t="s">
        <v>7</v>
      </c>
      <c r="C8">
        <v>2030</v>
      </c>
      <c r="D8">
        <v>40</v>
      </c>
      <c r="E8" t="s">
        <v>0</v>
      </c>
      <c r="G8">
        <v>2050</v>
      </c>
      <c r="H8">
        <v>85</v>
      </c>
      <c r="I8" t="s">
        <v>0</v>
      </c>
      <c r="P8" t="s">
        <v>7</v>
      </c>
      <c r="Q8">
        <f t="shared" si="2"/>
        <v>46.083077904223039</v>
      </c>
      <c r="R8" s="7">
        <f>(S8+Q8)/2</f>
        <v>40.003570803241459</v>
      </c>
      <c r="S8" s="5">
        <f>(1-D8/100)*INDEX($G$27:$G$49,MATCH(B8,$B$27:$B$49,0))</f>
        <v>33.924063702259879</v>
      </c>
      <c r="T8" s="7">
        <f>(U8+S8)/2</f>
        <v>27.563301758086151</v>
      </c>
      <c r="U8" s="8">
        <f>(S8+W8)/2</f>
        <v>21.202539813912423</v>
      </c>
      <c r="V8" s="7">
        <f>(W8+U8)/2</f>
        <v>14.841777869738698</v>
      </c>
      <c r="W8" s="5">
        <f t="shared" si="0"/>
        <v>8.4810159255649715</v>
      </c>
      <c r="Y8">
        <v>2050</v>
      </c>
      <c r="Z8">
        <v>1.0307195491278602</v>
      </c>
      <c r="AA8">
        <v>2050</v>
      </c>
      <c r="AB8">
        <v>0.79663353128496805</v>
      </c>
      <c r="AC8">
        <v>2050</v>
      </c>
      <c r="AD8">
        <v>0.29817532761798593</v>
      </c>
      <c r="AE8">
        <v>2050</v>
      </c>
      <c r="AF8">
        <v>3.3930156288273663</v>
      </c>
      <c r="AG8">
        <v>2050</v>
      </c>
      <c r="AH8">
        <v>1.65445119389718</v>
      </c>
      <c r="AI8">
        <v>2050</v>
      </c>
      <c r="AJ8">
        <v>0.4841703623948308</v>
      </c>
      <c r="AK8">
        <v>2050</v>
      </c>
      <c r="AL8">
        <v>8.4810159255649715</v>
      </c>
      <c r="AM8">
        <v>2050</v>
      </c>
      <c r="AN8">
        <v>5.9953220866121111</v>
      </c>
      <c r="AO8">
        <v>2050</v>
      </c>
      <c r="AP8">
        <v>15.3581044031411</v>
      </c>
      <c r="AQ8">
        <v>2050</v>
      </c>
      <c r="AS8">
        <v>2050</v>
      </c>
      <c r="AU8">
        <v>2050</v>
      </c>
      <c r="AV8">
        <v>0</v>
      </c>
      <c r="AW8">
        <v>2050</v>
      </c>
      <c r="AY8">
        <v>2050</v>
      </c>
      <c r="AZ8">
        <v>0</v>
      </c>
      <c r="BA8">
        <v>2050</v>
      </c>
      <c r="BB8">
        <v>0</v>
      </c>
      <c r="BC8">
        <v>2050</v>
      </c>
      <c r="BD8">
        <v>5.5531063132770759</v>
      </c>
      <c r="BE8">
        <v>2050</v>
      </c>
      <c r="BG8">
        <v>2050</v>
      </c>
      <c r="BH8">
        <v>2.6111869956308911</v>
      </c>
      <c r="BI8">
        <v>2050</v>
      </c>
      <c r="BJ8">
        <v>0</v>
      </c>
      <c r="BK8">
        <v>2050</v>
      </c>
      <c r="BL8">
        <v>0.97704383727074418</v>
      </c>
      <c r="BM8">
        <v>2050</v>
      </c>
      <c r="BN8">
        <v>2.1012794899313318</v>
      </c>
      <c r="BO8">
        <v>2050</v>
      </c>
      <c r="BP8">
        <v>0</v>
      </c>
    </row>
    <row r="9" spans="1:68" x14ac:dyDescent="0.35">
      <c r="A9">
        <f t="shared" si="1"/>
        <v>27.499632368303125</v>
      </c>
      <c r="B9" t="s">
        <v>8</v>
      </c>
      <c r="C9">
        <v>2020</v>
      </c>
      <c r="D9">
        <v>0</v>
      </c>
      <c r="E9" t="s">
        <v>0</v>
      </c>
      <c r="G9">
        <v>2050</v>
      </c>
      <c r="H9">
        <v>80</v>
      </c>
      <c r="I9" t="s">
        <v>0</v>
      </c>
      <c r="P9" t="s">
        <v>8</v>
      </c>
      <c r="Q9">
        <f t="shared" si="2"/>
        <v>27.499632368303125</v>
      </c>
      <c r="R9" s="10">
        <f>($W9-$Q9)/6+Q9</f>
        <v>23.915580654687957</v>
      </c>
      <c r="S9" s="10">
        <f t="shared" ref="S9:V9" si="8">($W9-$Q9)/6+R9</f>
        <v>20.33152894107279</v>
      </c>
      <c r="T9" s="10">
        <f t="shared" si="8"/>
        <v>16.747477227457622</v>
      </c>
      <c r="U9" s="10">
        <f t="shared" si="8"/>
        <v>13.163425513842453</v>
      </c>
      <c r="V9" s="10">
        <f t="shared" si="8"/>
        <v>9.5793738002272839</v>
      </c>
      <c r="W9" s="5">
        <f t="shared" si="0"/>
        <v>5.9953220866121111</v>
      </c>
    </row>
    <row r="10" spans="1:68" x14ac:dyDescent="0.35">
      <c r="A10">
        <f t="shared" si="1"/>
        <v>59.655224161621888</v>
      </c>
      <c r="B10" t="s">
        <v>9</v>
      </c>
      <c r="C10">
        <v>2025</v>
      </c>
      <c r="D10">
        <v>26</v>
      </c>
      <c r="E10" t="s">
        <v>10</v>
      </c>
      <c r="G10">
        <v>2050</v>
      </c>
      <c r="H10">
        <v>80</v>
      </c>
      <c r="I10" t="s">
        <v>11</v>
      </c>
      <c r="P10" t="s">
        <v>9</v>
      </c>
      <c r="Q10">
        <f t="shared" si="2"/>
        <v>59.655224161621888</v>
      </c>
      <c r="R10" s="5">
        <f>(1-D10/100)*INDEX($H$27:$H$49,MATCH(B10,$B$27:$B$49,0))</f>
        <v>56.824986291622082</v>
      </c>
      <c r="S10" s="10">
        <f>($W10-$R10)/5+R10</f>
        <v>48.531609913925884</v>
      </c>
      <c r="T10" s="10">
        <f t="shared" ref="T10:V10" si="9">($W10-$R10)/5+S10</f>
        <v>40.238233536229686</v>
      </c>
      <c r="U10" s="10">
        <f t="shared" si="9"/>
        <v>31.944857158533488</v>
      </c>
      <c r="V10" s="10">
        <f t="shared" si="9"/>
        <v>23.651480780837289</v>
      </c>
      <c r="W10" s="5">
        <f>(1-H10/100)*INDEX($H$27:$H$49,MATCH(B10,$B$27:$B$49,0))</f>
        <v>15.3581044031411</v>
      </c>
      <c r="Z10" t="s">
        <v>29</v>
      </c>
      <c r="AB10" t="s">
        <v>30</v>
      </c>
    </row>
    <row r="11" spans="1:68" x14ac:dyDescent="0.35">
      <c r="A11">
        <f t="shared" si="1"/>
        <v>3.7062477696921379</v>
      </c>
      <c r="B11" t="s">
        <v>12</v>
      </c>
      <c r="C11">
        <v>2030</v>
      </c>
      <c r="D11">
        <v>30</v>
      </c>
      <c r="E11" t="s">
        <v>13</v>
      </c>
      <c r="P11" t="s">
        <v>12</v>
      </c>
      <c r="Q11">
        <f t="shared" si="2"/>
        <v>3.7062477696921379</v>
      </c>
      <c r="R11" s="7">
        <f t="shared" ref="R11:R12" si="10">(S11+Q11)/2</f>
        <v>3.3975316690983384</v>
      </c>
      <c r="S11" s="5">
        <f>(1-D11/100)*INDEX($I$27:$I$49,MATCH(B11,$B$27:$B$49,0))</f>
        <v>3.0888155685045384</v>
      </c>
      <c r="Y11">
        <v>2020</v>
      </c>
      <c r="Z11">
        <f>Q2+Q3+Q4+Q5+Q6+Q7+Q8+Q9</f>
        <v>113.04718472702173</v>
      </c>
      <c r="AA11">
        <v>2020</v>
      </c>
      <c r="AB11">
        <f>Q10+Q12+Q11+Q13</f>
        <v>107.99015872038936</v>
      </c>
    </row>
    <row r="12" spans="1:68" x14ac:dyDescent="0.35">
      <c r="A12">
        <f t="shared" si="1"/>
        <v>15.51040860917467</v>
      </c>
      <c r="B12" t="s">
        <v>14</v>
      </c>
      <c r="C12">
        <v>2030</v>
      </c>
      <c r="D12">
        <v>40</v>
      </c>
      <c r="E12" t="s">
        <v>15</v>
      </c>
      <c r="P12" t="s">
        <v>14</v>
      </c>
      <c r="Q12">
        <f t="shared" si="2"/>
        <v>15.51040860917467</v>
      </c>
      <c r="R12" s="7">
        <f t="shared" si="10"/>
        <v>14.709814948604095</v>
      </c>
      <c r="S12" s="5">
        <f>(1-D12/100)*INDEX($H$27:$H$49,MATCH(B12,$B$27:$B$49,0))</f>
        <v>13.909221288033521</v>
      </c>
      <c r="Y12">
        <v>2025</v>
      </c>
      <c r="Z12">
        <f>R2+R3+R4+R5+R6+R7+R8+R9</f>
        <v>96.129776240657421</v>
      </c>
      <c r="AA12">
        <v>2025</v>
      </c>
      <c r="AB12">
        <f>R10+R12+R11+R13</f>
        <v>98.22695545324504</v>
      </c>
    </row>
    <row r="13" spans="1:68" x14ac:dyDescent="0.35">
      <c r="A13">
        <f t="shared" si="1"/>
        <v>29.118278179900663</v>
      </c>
      <c r="B13" t="s">
        <v>16</v>
      </c>
      <c r="F13" s="5"/>
      <c r="G13">
        <v>2045</v>
      </c>
      <c r="H13">
        <v>100</v>
      </c>
      <c r="P13" t="s">
        <v>16</v>
      </c>
      <c r="Q13">
        <f t="shared" si="2"/>
        <v>29.118278179900663</v>
      </c>
      <c r="R13" s="10">
        <f>($V13-$Q13)/5+Q13</f>
        <v>23.294622543920532</v>
      </c>
      <c r="S13" s="10">
        <f t="shared" ref="S13:U13" si="11">($V13-$Q13)/5+R13</f>
        <v>17.470966907940401</v>
      </c>
      <c r="T13" s="10">
        <f t="shared" si="11"/>
        <v>11.647311271960268</v>
      </c>
      <c r="U13" s="10">
        <f t="shared" si="11"/>
        <v>5.8236556359801348</v>
      </c>
      <c r="V13" s="6">
        <v>0</v>
      </c>
      <c r="W13">
        <v>0</v>
      </c>
      <c r="Y13">
        <v>2030</v>
      </c>
      <c r="Z13">
        <f>S2+S3+S4+S5+S6+S7+S8+S9</f>
        <v>79.347981028958841</v>
      </c>
      <c r="AA13">
        <v>2030</v>
      </c>
      <c r="AB13">
        <f>S10+S12+S11+S13</f>
        <v>83.000613678404335</v>
      </c>
    </row>
    <row r="14" spans="1:68" x14ac:dyDescent="0.35">
      <c r="A14">
        <f t="shared" si="1"/>
        <v>33.437537285512121</v>
      </c>
      <c r="B14" t="s">
        <v>17</v>
      </c>
      <c r="C14">
        <v>2025</v>
      </c>
      <c r="D14">
        <v>40</v>
      </c>
      <c r="E14" t="s">
        <v>11</v>
      </c>
      <c r="P14" t="s">
        <v>17</v>
      </c>
      <c r="Q14">
        <f t="shared" si="2"/>
        <v>33.437537285512121</v>
      </c>
      <c r="R14" s="5">
        <f>(1-D14/100)*INDEX($H$27:$H$49,MATCH(B14,$B$27:$B$49,0))</f>
        <v>25.226899327456525</v>
      </c>
      <c r="Y14">
        <v>2035</v>
      </c>
      <c r="Z14">
        <f>T2+T3+T4+T5+T6+T7+T8+T9</f>
        <v>64.882332408623114</v>
      </c>
      <c r="AA14">
        <v>2035</v>
      </c>
      <c r="AB14">
        <f>$S$12+$S$11+T10+T13</f>
        <v>68.883581664728013</v>
      </c>
    </row>
    <row r="15" spans="1:68" x14ac:dyDescent="0.35">
      <c r="A15">
        <f t="shared" si="1"/>
        <v>53.152541451827183</v>
      </c>
      <c r="B15" t="s">
        <v>18</v>
      </c>
      <c r="C15">
        <v>2030</v>
      </c>
      <c r="D15">
        <v>40</v>
      </c>
      <c r="E15" t="s">
        <v>10</v>
      </c>
      <c r="G15">
        <v>2050</v>
      </c>
      <c r="H15">
        <v>100</v>
      </c>
      <c r="P15" t="s">
        <v>18</v>
      </c>
      <c r="Q15">
        <f t="shared" si="2"/>
        <v>53.152541451827183</v>
      </c>
      <c r="R15" s="7">
        <f>(S15+Q15)/2</f>
        <v>43.097885549720033</v>
      </c>
      <c r="S15" s="5">
        <f>(1-D15/100)*INDEX($H$27:$H$49,MATCH(B15,$B$27:$B$49,0))</f>
        <v>33.043229647612876</v>
      </c>
      <c r="T15" s="7">
        <f>(U15+S15)/2</f>
        <v>24.782422235709657</v>
      </c>
      <c r="U15" s="8">
        <f>(S15+W15)/2</f>
        <v>16.521614823806438</v>
      </c>
      <c r="V15" s="7">
        <f>(W15+U15)/2</f>
        <v>8.2608074119032189</v>
      </c>
      <c r="W15" s="6">
        <v>0</v>
      </c>
      <c r="Y15">
        <v>2040</v>
      </c>
      <c r="Z15">
        <f>U2+U3+U4+U5+U6+U7+U8+U9</f>
        <v>50.632722807524502</v>
      </c>
      <c r="AA15">
        <v>2040</v>
      </c>
      <c r="AB15">
        <f>$S$12+$S$11+U10+U13</f>
        <v>54.766549651051676</v>
      </c>
    </row>
    <row r="16" spans="1:68" x14ac:dyDescent="0.35">
      <c r="A16">
        <f t="shared" si="1"/>
        <v>43.42908558918753</v>
      </c>
      <c r="B16" t="s">
        <v>19</v>
      </c>
      <c r="C16">
        <v>2025</v>
      </c>
      <c r="D16">
        <v>26</v>
      </c>
      <c r="E16" t="s">
        <v>10</v>
      </c>
      <c r="G16">
        <v>2050</v>
      </c>
      <c r="H16">
        <v>100</v>
      </c>
      <c r="P16" t="s">
        <v>19</v>
      </c>
      <c r="Q16">
        <f t="shared" si="2"/>
        <v>43.42908558918753</v>
      </c>
      <c r="R16" s="5">
        <f>(1-D16/100)*INDEX($H$27:$H$49,MATCH(B16,$B$27:$B$49,0))</f>
        <v>38.369832062036167</v>
      </c>
      <c r="S16" s="10">
        <f>($W16-$R16)/5+R16</f>
        <v>30.695865649628935</v>
      </c>
      <c r="T16" s="10">
        <f t="shared" ref="T16:V17" si="12">($W16-$R16)/5+S16</f>
        <v>23.021899237221703</v>
      </c>
      <c r="U16" s="10">
        <f t="shared" si="12"/>
        <v>15.347932824814469</v>
      </c>
      <c r="V16" s="10">
        <f t="shared" si="12"/>
        <v>7.6739664124072355</v>
      </c>
      <c r="W16" s="6">
        <v>0</v>
      </c>
      <c r="Y16">
        <v>2045</v>
      </c>
      <c r="Z16">
        <f>V2+V3+V4+V5+V6+V7+V8+V9</f>
        <v>36.38311320642589</v>
      </c>
      <c r="AA16">
        <v>2045</v>
      </c>
      <c r="AB16">
        <f>$S$12+$S$11+V10+V13</f>
        <v>40.649517637375354</v>
      </c>
    </row>
    <row r="17" spans="1:28" x14ac:dyDescent="0.35">
      <c r="A17">
        <f t="shared" si="1"/>
        <v>25.11537003495971</v>
      </c>
      <c r="B17" t="s">
        <v>20</v>
      </c>
      <c r="C17">
        <v>2025</v>
      </c>
      <c r="D17">
        <v>30</v>
      </c>
      <c r="E17" t="s">
        <v>10</v>
      </c>
      <c r="G17">
        <v>2050</v>
      </c>
      <c r="H17">
        <v>80</v>
      </c>
      <c r="I17" t="s">
        <v>11</v>
      </c>
      <c r="P17" t="s">
        <v>20</v>
      </c>
      <c r="Q17">
        <f t="shared" si="2"/>
        <v>25.11537003495971</v>
      </c>
      <c r="R17" s="5">
        <f>(1-D17/100)*INDEX($H$27:$H$49,MATCH(B17,$B$27:$B$49,0))</f>
        <v>19.435872096469769</v>
      </c>
      <c r="S17" s="10">
        <f>($W17-$R17)/5+R17</f>
        <v>16.65931893983123</v>
      </c>
      <c r="T17" s="10">
        <f t="shared" si="12"/>
        <v>13.882765783192692</v>
      </c>
      <c r="U17" s="10">
        <f t="shared" si="12"/>
        <v>11.106212626554154</v>
      </c>
      <c r="V17" s="10">
        <f t="shared" si="12"/>
        <v>8.3296594699156152</v>
      </c>
      <c r="W17" s="5">
        <f>(1-H17/100)*INDEX($H$27:$H$49,MATCH(B17,$B$27:$B$49,0))</f>
        <v>5.5531063132770759</v>
      </c>
      <c r="Y17">
        <v>2050</v>
      </c>
      <c r="Z17">
        <f>W2+W3+W4+W5+W6+W7+W8+W9</f>
        <v>22.133503605327277</v>
      </c>
      <c r="AA17">
        <v>2050</v>
      </c>
      <c r="AB17">
        <f>$S$12+$S$11+W10+W13</f>
        <v>32.356141259679163</v>
      </c>
    </row>
    <row r="18" spans="1:28" x14ac:dyDescent="0.35">
      <c r="A18">
        <f t="shared" si="1"/>
        <v>13.347840293687193</v>
      </c>
      <c r="B18" t="s">
        <v>21</v>
      </c>
      <c r="C18">
        <v>2030</v>
      </c>
      <c r="D18">
        <v>45</v>
      </c>
      <c r="E18" t="s">
        <v>10</v>
      </c>
      <c r="P18" t="s">
        <v>21</v>
      </c>
      <c r="Q18">
        <f t="shared" si="2"/>
        <v>13.347840293687193</v>
      </c>
      <c r="R18" s="7">
        <f t="shared" ref="R18:R19" si="13">(S18+Q18)/2</f>
        <v>11.135920363850406</v>
      </c>
      <c r="S18" s="5">
        <f>(1-D18/100)*INDEX($H$27:$H$49,MATCH(B18,$B$27:$B$49,0))</f>
        <v>8.9240004340136174</v>
      </c>
    </row>
    <row r="19" spans="1:28" x14ac:dyDescent="0.35">
      <c r="A19">
        <f t="shared" si="1"/>
        <v>25.016549082995486</v>
      </c>
      <c r="B19" t="s">
        <v>22</v>
      </c>
      <c r="C19">
        <v>2030</v>
      </c>
      <c r="D19">
        <v>50</v>
      </c>
      <c r="E19" t="s">
        <v>10</v>
      </c>
      <c r="G19">
        <v>2050</v>
      </c>
      <c r="H19">
        <v>90</v>
      </c>
      <c r="I19" t="s">
        <v>11</v>
      </c>
      <c r="P19" t="s">
        <v>22</v>
      </c>
      <c r="Q19">
        <f t="shared" si="2"/>
        <v>25.016549082995486</v>
      </c>
      <c r="R19" s="7">
        <f t="shared" si="13"/>
        <v>19.036242030574972</v>
      </c>
      <c r="S19" s="5">
        <f>(1-D19/100)*INDEX($H$27:$H$49,MATCH(B19,$B$27:$B$49,0))</f>
        <v>13.055934978154459</v>
      </c>
      <c r="T19" s="7">
        <f t="shared" ref="T19:V21" si="14">(U19+S19)/2</f>
        <v>10.444747982523568</v>
      </c>
      <c r="U19" s="8">
        <f t="shared" ref="U19" si="15">(S19+W19)/2</f>
        <v>7.8335609868926754</v>
      </c>
      <c r="V19" s="7">
        <f t="shared" si="14"/>
        <v>5.222373991261783</v>
      </c>
      <c r="W19" s="5">
        <f>(1-H19/100)*INDEX($H$27:$H$49,MATCH(B19,$B$27:$B$49,0))</f>
        <v>2.6111869956308911</v>
      </c>
    </row>
    <row r="20" spans="1:28" x14ac:dyDescent="0.35">
      <c r="A20">
        <f t="shared" si="1"/>
        <v>8.8051077681584129</v>
      </c>
      <c r="B20" t="s">
        <v>23</v>
      </c>
      <c r="F20" s="5"/>
      <c r="G20">
        <v>2050</v>
      </c>
      <c r="H20">
        <v>100</v>
      </c>
      <c r="P20" t="s">
        <v>23</v>
      </c>
      <c r="Q20">
        <f t="shared" si="2"/>
        <v>8.8051077681584129</v>
      </c>
      <c r="R20" s="10">
        <f>($W20-$Q20)/6+Q20</f>
        <v>7.3375898067986771</v>
      </c>
      <c r="S20" s="10">
        <f t="shared" ref="S20:V20" si="16">($W20-$Q20)/6+R20</f>
        <v>5.8700718454389413</v>
      </c>
      <c r="T20" s="10">
        <f t="shared" si="16"/>
        <v>4.4025538840792056</v>
      </c>
      <c r="U20" s="10">
        <f t="shared" si="16"/>
        <v>2.9350359227194698</v>
      </c>
      <c r="V20" s="10">
        <f t="shared" si="16"/>
        <v>1.4675179613597342</v>
      </c>
      <c r="W20" s="6">
        <v>0</v>
      </c>
    </row>
    <row r="21" spans="1:28" x14ac:dyDescent="0.35">
      <c r="A21">
        <f t="shared" si="1"/>
        <v>22.955313363282276</v>
      </c>
      <c r="B21" t="s">
        <v>24</v>
      </c>
      <c r="C21">
        <v>2030</v>
      </c>
      <c r="D21">
        <v>45</v>
      </c>
      <c r="E21" t="s">
        <v>0</v>
      </c>
      <c r="G21">
        <v>2040</v>
      </c>
      <c r="H21">
        <v>40</v>
      </c>
      <c r="I21" t="s">
        <v>0</v>
      </c>
      <c r="K21">
        <v>2050</v>
      </c>
      <c r="L21">
        <v>95</v>
      </c>
      <c r="M21" t="s">
        <v>0</v>
      </c>
      <c r="P21" t="s">
        <v>24</v>
      </c>
      <c r="Q21">
        <f t="shared" si="2"/>
        <v>22.955313363282276</v>
      </c>
      <c r="R21" s="7">
        <f>(S21+Q21)/2</f>
        <v>16.851397786630226</v>
      </c>
      <c r="S21" s="5">
        <f>(1-D21/100)*INDEX($G$27:$G$49,MATCH(B21,$B$27:$B$49,0))</f>
        <v>10.747482209978177</v>
      </c>
      <c r="T21" s="7">
        <f t="shared" si="14"/>
        <v>8.3048726168013189</v>
      </c>
      <c r="U21" s="8">
        <f t="shared" ref="U21" si="17">(S21+W21)/2</f>
        <v>5.8622630236244602</v>
      </c>
      <c r="V21" s="7">
        <f t="shared" si="14"/>
        <v>3.4196534304476023</v>
      </c>
      <c r="W21" s="5">
        <f>(1-L21/100)*INDEX($G$27:$G$49,MATCH(B21,$B$27:$B$49,0))</f>
        <v>0.97704383727074418</v>
      </c>
    </row>
    <row r="22" spans="1:28" x14ac:dyDescent="0.35">
      <c r="A22">
        <f t="shared" si="1"/>
        <v>11.410685109588842</v>
      </c>
      <c r="B22" t="s">
        <v>25</v>
      </c>
      <c r="C22">
        <v>2035</v>
      </c>
      <c r="D22">
        <v>45</v>
      </c>
      <c r="E22" t="s">
        <v>0</v>
      </c>
      <c r="G22">
        <v>2050</v>
      </c>
      <c r="H22">
        <v>75</v>
      </c>
      <c r="I22" t="s">
        <v>0</v>
      </c>
      <c r="P22" t="s">
        <v>25</v>
      </c>
      <c r="Q22">
        <f t="shared" si="2"/>
        <v>11.410685109588842</v>
      </c>
      <c r="R22" s="9">
        <f>(T22-Q22)/3+Q22</f>
        <v>9.1480616990088706</v>
      </c>
      <c r="S22" s="7">
        <f t="shared" ref="S22" si="18">(T22+R22)/2</f>
        <v>6.8854382884289009</v>
      </c>
      <c r="T22" s="5">
        <f>(1-D22/100)*INDEX($G$27:$G$49,MATCH(B22,$B$27:$B$49,0))</f>
        <v>4.6228148778489304</v>
      </c>
      <c r="U22" s="9">
        <f>(W22-T22)/3+T22</f>
        <v>3.7823030818763974</v>
      </c>
      <c r="V22" s="7">
        <f t="shared" ref="V22" si="19">(W22+U22)/2</f>
        <v>2.9417912859038644</v>
      </c>
      <c r="W22" s="5">
        <f>(1-H22/100)*INDEX($G$27:$G$49,MATCH(B22,$B$27:$B$49,0))</f>
        <v>2.1012794899313318</v>
      </c>
    </row>
    <row r="23" spans="1:28" x14ac:dyDescent="0.35">
      <c r="A23">
        <f t="shared" si="1"/>
        <v>97.681192718009285</v>
      </c>
      <c r="B23" t="s">
        <v>26</v>
      </c>
      <c r="C23">
        <v>2030</v>
      </c>
      <c r="D23">
        <v>40</v>
      </c>
      <c r="E23" t="s">
        <v>0</v>
      </c>
      <c r="G23">
        <v>2050</v>
      </c>
      <c r="H23">
        <v>100</v>
      </c>
      <c r="P23" t="s">
        <v>26</v>
      </c>
      <c r="Q23">
        <f t="shared" si="2"/>
        <v>97.681192718009285</v>
      </c>
      <c r="R23" s="7">
        <f t="shared" ref="R23:R24" si="20">(S23+Q23)/2</f>
        <v>78.309267217295968</v>
      </c>
      <c r="S23" s="5">
        <f>(1-D23/100)*INDEX($G$27:$G$49,MATCH(B23,$B$27:$B$49,0))</f>
        <v>58.937341716582644</v>
      </c>
      <c r="T23" s="7">
        <f t="shared" ref="T23" si="21">(U23+S23)/2</f>
        <v>44.203006287436985</v>
      </c>
      <c r="U23" s="8">
        <f t="shared" ref="U23:U24" si="22">(S23+W23)/2</f>
        <v>29.468670858291322</v>
      </c>
      <c r="V23" s="7">
        <f t="shared" ref="V23" si="23">(W23+U23)/2</f>
        <v>14.734335429145661</v>
      </c>
      <c r="W23" s="6">
        <v>0</v>
      </c>
    </row>
    <row r="24" spans="1:28" x14ac:dyDescent="0.35">
      <c r="A24">
        <f t="shared" si="1"/>
        <v>11.384343537209361</v>
      </c>
      <c r="B24" t="s">
        <v>28</v>
      </c>
      <c r="C24">
        <v>2030</v>
      </c>
      <c r="D24">
        <v>45</v>
      </c>
      <c r="E24" t="s">
        <v>10</v>
      </c>
      <c r="G24">
        <v>2050</v>
      </c>
      <c r="H24">
        <v>100</v>
      </c>
      <c r="P24" t="s">
        <v>28</v>
      </c>
      <c r="Q24">
        <f t="shared" si="2"/>
        <v>11.384343537209361</v>
      </c>
      <c r="R24" s="7">
        <f t="shared" si="20"/>
        <v>9.4558568190830883</v>
      </c>
      <c r="S24" s="5">
        <f>(1-D24/100)*INDEX($H$27:$H$49,MATCH(B24,$B$27:$B$49,0))</f>
        <v>7.5273701009568148</v>
      </c>
      <c r="T24" s="7">
        <f t="shared" ref="T24" si="24">(U24+S24)/2</f>
        <v>5.6455275757176109</v>
      </c>
      <c r="U24" s="8">
        <f t="shared" si="22"/>
        <v>3.7636850504784074</v>
      </c>
      <c r="V24" s="7">
        <f t="shared" ref="V24" si="25">(W24+U24)/2</f>
        <v>1.8818425252392037</v>
      </c>
      <c r="W24" s="6">
        <v>0</v>
      </c>
    </row>
    <row r="26" spans="1:28" ht="15" thickBot="1" x14ac:dyDescent="0.4">
      <c r="B26" s="1" t="s">
        <v>27</v>
      </c>
      <c r="C26" s="4">
        <v>1990</v>
      </c>
      <c r="D26" s="4">
        <v>2005</v>
      </c>
      <c r="E26" s="4">
        <v>2008</v>
      </c>
      <c r="F26" s="4">
        <v>2019</v>
      </c>
      <c r="G26">
        <v>1990</v>
      </c>
      <c r="H26">
        <v>2005</v>
      </c>
      <c r="I26">
        <v>2008</v>
      </c>
      <c r="J26">
        <v>2019</v>
      </c>
      <c r="Q26">
        <v>2020</v>
      </c>
      <c r="R26">
        <v>2025</v>
      </c>
      <c r="S26">
        <v>2030</v>
      </c>
      <c r="T26">
        <v>2035</v>
      </c>
      <c r="U26">
        <v>2040</v>
      </c>
      <c r="V26">
        <v>2045</v>
      </c>
      <c r="W26">
        <v>2050</v>
      </c>
    </row>
    <row r="27" spans="1:28" ht="15" thickTop="1" x14ac:dyDescent="0.35">
      <c r="B27" s="3" t="s">
        <v>26</v>
      </c>
      <c r="C27" s="2">
        <v>360.17264382356058</v>
      </c>
      <c r="D27" s="2">
        <v>389.55211052319493</v>
      </c>
      <c r="E27" s="2">
        <v>384.00509998165182</v>
      </c>
      <c r="F27" s="2">
        <v>358.16437329936741</v>
      </c>
      <c r="G27">
        <f>C27*12/44</f>
        <v>98.228902860971075</v>
      </c>
      <c r="H27">
        <f t="shared" ref="H27:H49" si="26">D27*12/44</f>
        <v>106.24148468814407</v>
      </c>
      <c r="I27">
        <f t="shared" ref="I27:I49" si="27">E27*12/44</f>
        <v>104.72866363135959</v>
      </c>
      <c r="J27">
        <f t="shared" ref="J27:J49" si="28">F27*12/44</f>
        <v>97.681192718009285</v>
      </c>
      <c r="P27" t="s">
        <v>2</v>
      </c>
      <c r="Q27">
        <f>Q2/$Q2</f>
        <v>1</v>
      </c>
      <c r="R27">
        <f t="shared" ref="R27:W27" si="29">R2/$Q2</f>
        <v>0.86021062670596316</v>
      </c>
      <c r="S27">
        <f t="shared" si="29"/>
        <v>0.7204212534119262</v>
      </c>
      <c r="T27">
        <f t="shared" si="29"/>
        <v>0.60580878127821058</v>
      </c>
      <c r="U27">
        <f t="shared" si="29"/>
        <v>0.49119630914449508</v>
      </c>
      <c r="V27">
        <f t="shared" si="29"/>
        <v>0.37658383701077952</v>
      </c>
      <c r="W27">
        <f t="shared" si="29"/>
        <v>0.26197136487706396</v>
      </c>
    </row>
    <row r="28" spans="1:28" x14ac:dyDescent="0.35">
      <c r="B28" s="3" t="s">
        <v>22</v>
      </c>
      <c r="C28" s="2">
        <v>66.538754182011829</v>
      </c>
      <c r="D28" s="2">
        <v>95.743523173132701</v>
      </c>
      <c r="E28" s="2">
        <v>97.386106966743242</v>
      </c>
      <c r="F28" s="2">
        <v>91.727346637650115</v>
      </c>
      <c r="G28">
        <f t="shared" ref="G28:G49" si="30">C28*12/44</f>
        <v>18.146932958730499</v>
      </c>
      <c r="H28">
        <f t="shared" si="26"/>
        <v>26.111869956308919</v>
      </c>
      <c r="I28">
        <f t="shared" si="27"/>
        <v>26.55984735456634</v>
      </c>
      <c r="J28">
        <f t="shared" si="28"/>
        <v>25.016549082995486</v>
      </c>
      <c r="P28" t="s">
        <v>1</v>
      </c>
      <c r="Q28">
        <f t="shared" ref="Q28:W28" si="31">Q3/$Q3</f>
        <v>1</v>
      </c>
      <c r="R28">
        <f t="shared" si="31"/>
        <v>0.83853347277499846</v>
      </c>
      <c r="S28">
        <f t="shared" si="31"/>
        <v>0.71275345185874861</v>
      </c>
      <c r="T28">
        <f t="shared" si="31"/>
        <v>0.58697343094249876</v>
      </c>
      <c r="U28">
        <f t="shared" si="31"/>
        <v>0.46119341002624903</v>
      </c>
      <c r="V28">
        <f t="shared" si="31"/>
        <v>0.33541338910999918</v>
      </c>
      <c r="W28">
        <f t="shared" si="31"/>
        <v>0.20963336819374956</v>
      </c>
    </row>
    <row r="29" spans="1:28" x14ac:dyDescent="0.35">
      <c r="B29" s="3" t="s">
        <v>5</v>
      </c>
      <c r="C29" s="2">
        <v>40.442140295264387</v>
      </c>
      <c r="D29" s="2">
        <v>43.900454945825153</v>
      </c>
      <c r="E29" s="2">
        <v>37.652584085228227</v>
      </c>
      <c r="F29" s="2">
        <v>36.63166172521256</v>
      </c>
      <c r="G29">
        <f t="shared" si="30"/>
        <v>11.029674625981198</v>
      </c>
      <c r="H29">
        <f t="shared" si="26"/>
        <v>11.972851348861406</v>
      </c>
      <c r="I29">
        <f t="shared" si="27"/>
        <v>10.268886568698607</v>
      </c>
      <c r="J29">
        <f t="shared" si="28"/>
        <v>9.9904531977852447</v>
      </c>
      <c r="P29" t="s">
        <v>3</v>
      </c>
      <c r="Q29">
        <f t="shared" ref="Q29:W29" si="32">Q4/$Q4</f>
        <v>1</v>
      </c>
      <c r="R29">
        <f t="shared" si="32"/>
        <v>0.77240164402928024</v>
      </c>
      <c r="S29">
        <f t="shared" si="32"/>
        <v>0.54480328805856049</v>
      </c>
      <c r="T29">
        <f t="shared" si="32"/>
        <v>0.45400274004880031</v>
      </c>
      <c r="U29">
        <f t="shared" si="32"/>
        <v>0.36320219203904025</v>
      </c>
      <c r="V29">
        <f t="shared" si="32"/>
        <v>0.27240164402928019</v>
      </c>
      <c r="W29">
        <f t="shared" si="32"/>
        <v>0.1816010960195201</v>
      </c>
    </row>
    <row r="30" spans="1:28" x14ac:dyDescent="0.35">
      <c r="B30" s="3" t="s">
        <v>12</v>
      </c>
      <c r="C30" s="2">
        <v>18.03621737563013</v>
      </c>
      <c r="D30" s="2">
        <v>17.40244499456762</v>
      </c>
      <c r="E30" s="2">
        <v>16.179510120738058</v>
      </c>
      <c r="F30" s="2">
        <v>13.58957515553784</v>
      </c>
      <c r="G30">
        <f t="shared" si="30"/>
        <v>4.918968375171854</v>
      </c>
      <c r="H30">
        <f t="shared" si="26"/>
        <v>4.7461213621548062</v>
      </c>
      <c r="I30">
        <f t="shared" si="27"/>
        <v>4.4125936692921979</v>
      </c>
      <c r="J30">
        <f t="shared" si="28"/>
        <v>3.7062477696921379</v>
      </c>
      <c r="P30" t="s">
        <v>4</v>
      </c>
      <c r="Q30">
        <f t="shared" ref="Q30:W30" si="33">Q5/$Q5</f>
        <v>1</v>
      </c>
      <c r="R30">
        <f t="shared" si="33"/>
        <v>0.82743635819756012</v>
      </c>
      <c r="S30">
        <f t="shared" si="33"/>
        <v>0.65487271639512035</v>
      </c>
      <c r="T30">
        <f t="shared" si="33"/>
        <v>0.54026999102597428</v>
      </c>
      <c r="U30">
        <f t="shared" si="33"/>
        <v>0.42566726565682828</v>
      </c>
      <c r="V30">
        <f t="shared" si="33"/>
        <v>0.31106454028768216</v>
      </c>
      <c r="W30">
        <f t="shared" si="33"/>
        <v>0.19646181491853612</v>
      </c>
    </row>
    <row r="31" spans="1:28" x14ac:dyDescent="0.35">
      <c r="B31" s="3" t="s">
        <v>18</v>
      </c>
      <c r="C31" s="2">
        <v>191.4961405762694</v>
      </c>
      <c r="D31" s="2">
        <v>201.93084784652311</v>
      </c>
      <c r="E31" s="2">
        <v>204.1051968496389</v>
      </c>
      <c r="F31" s="2">
        <v>194.89265199003299</v>
      </c>
      <c r="G31">
        <f t="shared" si="30"/>
        <v>52.226220157164377</v>
      </c>
      <c r="H31">
        <f t="shared" si="26"/>
        <v>55.072049412688123</v>
      </c>
      <c r="I31">
        <f t="shared" si="27"/>
        <v>55.665053686265153</v>
      </c>
      <c r="J31">
        <f t="shared" si="28"/>
        <v>53.152541451827183</v>
      </c>
      <c r="P31" t="s">
        <v>5</v>
      </c>
      <c r="Q31">
        <f t="shared" ref="Q31:W31" si="34">Q6/$Q6</f>
        <v>1</v>
      </c>
      <c r="R31">
        <f t="shared" si="34"/>
        <v>0.77600536251013952</v>
      </c>
      <c r="S31">
        <f t="shared" si="34"/>
        <v>0.55201072502027915</v>
      </c>
      <c r="T31">
        <f t="shared" si="34"/>
        <v>0.45540884814173027</v>
      </c>
      <c r="U31">
        <f t="shared" si="34"/>
        <v>0.35880697126318145</v>
      </c>
      <c r="V31">
        <f t="shared" si="34"/>
        <v>0.26220509438463263</v>
      </c>
      <c r="W31">
        <f t="shared" si="34"/>
        <v>0.16560321750608376</v>
      </c>
    </row>
    <row r="32" spans="1:28" x14ac:dyDescent="0.35">
      <c r="B32" s="3" t="s">
        <v>2</v>
      </c>
      <c r="C32" s="2">
        <v>18.896525067344111</v>
      </c>
      <c r="D32" s="2">
        <v>23.07459333839131</v>
      </c>
      <c r="E32" s="2">
        <v>19.018661111310401</v>
      </c>
      <c r="F32" s="2">
        <v>14.426405020420249</v>
      </c>
      <c r="G32">
        <f t="shared" si="30"/>
        <v>5.1535977456393027</v>
      </c>
      <c r="H32">
        <f t="shared" si="26"/>
        <v>6.293070910470357</v>
      </c>
      <c r="I32">
        <f t="shared" si="27"/>
        <v>5.1869075758119276</v>
      </c>
      <c r="J32">
        <f t="shared" si="28"/>
        <v>3.9344740964782501</v>
      </c>
      <c r="P32" t="s">
        <v>6</v>
      </c>
      <c r="Q32">
        <f t="shared" ref="Q32:W32" si="35">Q7/$Q7</f>
        <v>1</v>
      </c>
      <c r="R32">
        <f t="shared" si="35"/>
        <v>0.82366740709424047</v>
      </c>
      <c r="S32">
        <f t="shared" si="35"/>
        <v>0.64733481418848104</v>
      </c>
      <c r="T32">
        <f t="shared" si="35"/>
        <v>0.47100222128272151</v>
      </c>
      <c r="U32">
        <f t="shared" si="35"/>
        <v>0.37109265919244727</v>
      </c>
      <c r="V32">
        <f t="shared" si="35"/>
        <v>0.27118309710217298</v>
      </c>
      <c r="W32">
        <f t="shared" si="35"/>
        <v>0.17127353501189868</v>
      </c>
    </row>
    <row r="33" spans="2:23" x14ac:dyDescent="0.35">
      <c r="B33" s="3" t="s">
        <v>14</v>
      </c>
      <c r="C33" s="2">
        <v>70.392299975932943</v>
      </c>
      <c r="D33" s="2">
        <v>85.000796760204864</v>
      </c>
      <c r="E33" s="2">
        <v>74.55905842810165</v>
      </c>
      <c r="F33" s="2">
        <v>56.871498233640459</v>
      </c>
      <c r="G33">
        <f t="shared" si="30"/>
        <v>19.197899993436259</v>
      </c>
      <c r="H33">
        <f t="shared" si="26"/>
        <v>23.18203548005587</v>
      </c>
      <c r="I33">
        <f t="shared" si="27"/>
        <v>20.334288662209541</v>
      </c>
      <c r="J33">
        <f t="shared" si="28"/>
        <v>15.51040860917467</v>
      </c>
      <c r="P33" t="s">
        <v>7</v>
      </c>
      <c r="Q33">
        <f t="shared" ref="Q33:W33" si="36">Q8/$Q8</f>
        <v>1</v>
      </c>
      <c r="R33">
        <f t="shared" si="36"/>
        <v>0.86807506404808832</v>
      </c>
      <c r="S33">
        <f t="shared" si="36"/>
        <v>0.73615012809617664</v>
      </c>
      <c r="T33">
        <f t="shared" si="36"/>
        <v>0.59812197907814357</v>
      </c>
      <c r="U33">
        <f t="shared" si="36"/>
        <v>0.4600938300601104</v>
      </c>
      <c r="V33">
        <f t="shared" si="36"/>
        <v>0.32206568104207728</v>
      </c>
      <c r="W33">
        <f t="shared" si="36"/>
        <v>0.18403753202404421</v>
      </c>
    </row>
    <row r="34" spans="2:23" x14ac:dyDescent="0.35">
      <c r="B34" s="3" t="s">
        <v>4</v>
      </c>
      <c r="C34" s="2">
        <v>82.940382038002269</v>
      </c>
      <c r="D34" s="2">
        <v>84.364784377622442</v>
      </c>
      <c r="E34" s="2">
        <v>76.666040582278114</v>
      </c>
      <c r="F34" s="2">
        <v>63.325574544137687</v>
      </c>
      <c r="G34">
        <f t="shared" si="30"/>
        <v>22.620104192182438</v>
      </c>
      <c r="H34">
        <f t="shared" si="26"/>
        <v>23.008577557533393</v>
      </c>
      <c r="I34">
        <f t="shared" si="27"/>
        <v>20.90892015880312</v>
      </c>
      <c r="J34">
        <f t="shared" si="28"/>
        <v>17.270611239310281</v>
      </c>
      <c r="P34" t="s">
        <v>8</v>
      </c>
      <c r="Q34">
        <f t="shared" ref="Q34:W34" si="37">Q9/$Q9</f>
        <v>1</v>
      </c>
      <c r="R34">
        <f t="shared" si="37"/>
        <v>0.86966910445878365</v>
      </c>
      <c r="S34">
        <f t="shared" si="37"/>
        <v>0.73933820891756719</v>
      </c>
      <c r="T34">
        <f t="shared" si="37"/>
        <v>0.60900731337635083</v>
      </c>
      <c r="U34">
        <f t="shared" si="37"/>
        <v>0.47867641783513443</v>
      </c>
      <c r="V34">
        <f t="shared" si="37"/>
        <v>0.34834552229391796</v>
      </c>
      <c r="W34">
        <f t="shared" si="37"/>
        <v>0.21801462675270136</v>
      </c>
    </row>
    <row r="35" spans="2:23" x14ac:dyDescent="0.35">
      <c r="B35" s="3" t="s">
        <v>19</v>
      </c>
      <c r="C35" s="2">
        <v>180.13265399087669</v>
      </c>
      <c r="D35" s="2">
        <v>190.12078949657561</v>
      </c>
      <c r="E35" s="2">
        <v>175.4664632059025</v>
      </c>
      <c r="F35" s="2">
        <v>159.2399804936876</v>
      </c>
      <c r="G35">
        <f t="shared" si="30"/>
        <v>49.127087452057282</v>
      </c>
      <c r="H35">
        <f t="shared" si="26"/>
        <v>51.851124408156984</v>
      </c>
      <c r="I35">
        <f t="shared" si="27"/>
        <v>47.854489965246131</v>
      </c>
      <c r="J35">
        <f t="shared" si="28"/>
        <v>43.42908558918753</v>
      </c>
      <c r="P35" t="s">
        <v>9</v>
      </c>
      <c r="Q35">
        <f t="shared" ref="Q35:W35" si="38">Q10/$Q10</f>
        <v>1</v>
      </c>
      <c r="R35">
        <f t="shared" si="38"/>
        <v>0.95255674738004603</v>
      </c>
      <c r="S35">
        <f t="shared" si="38"/>
        <v>0.81353495181647173</v>
      </c>
      <c r="T35">
        <f t="shared" si="38"/>
        <v>0.67451315625289743</v>
      </c>
      <c r="U35">
        <f t="shared" si="38"/>
        <v>0.53549136068932313</v>
      </c>
      <c r="V35">
        <f t="shared" si="38"/>
        <v>0.39646956512574877</v>
      </c>
      <c r="W35">
        <f t="shared" si="38"/>
        <v>0.25744776956217458</v>
      </c>
    </row>
    <row r="36" spans="2:23" x14ac:dyDescent="0.35">
      <c r="B36" s="3" t="s">
        <v>20</v>
      </c>
      <c r="C36" s="2">
        <v>78.836144845486743</v>
      </c>
      <c r="D36" s="2">
        <v>101.80694907674641</v>
      </c>
      <c r="E36" s="2">
        <v>100.00542648733619</v>
      </c>
      <c r="F36" s="2">
        <v>92.089690128185595</v>
      </c>
      <c r="G36">
        <f t="shared" si="30"/>
        <v>21.500766776041839</v>
      </c>
      <c r="H36">
        <f t="shared" si="26"/>
        <v>27.765531566385388</v>
      </c>
      <c r="I36">
        <f t="shared" si="27"/>
        <v>27.274207223818962</v>
      </c>
      <c r="J36">
        <f t="shared" si="28"/>
        <v>25.11537003495971</v>
      </c>
      <c r="P36" t="s">
        <v>12</v>
      </c>
      <c r="Q36">
        <f t="shared" ref="Q36:W36" si="39">Q11/$Q11</f>
        <v>1</v>
      </c>
      <c r="R36">
        <f t="shared" si="39"/>
        <v>0.91670386877037013</v>
      </c>
      <c r="S36">
        <f t="shared" si="39"/>
        <v>0.83340773754074005</v>
      </c>
    </row>
    <row r="37" spans="2:23" x14ac:dyDescent="0.35">
      <c r="B37" s="3" t="s">
        <v>23</v>
      </c>
      <c r="C37" s="2">
        <v>27.956948119719069</v>
      </c>
      <c r="D37" s="2">
        <v>35.874291967433408</v>
      </c>
      <c r="E37" s="2">
        <v>37.228163014761549</v>
      </c>
      <c r="F37" s="2">
        <v>32.28539514991418</v>
      </c>
      <c r="G37">
        <f t="shared" si="30"/>
        <v>7.6246222144688369</v>
      </c>
      <c r="H37">
        <f t="shared" si="26"/>
        <v>9.7838978093000204</v>
      </c>
      <c r="I37">
        <f t="shared" si="27"/>
        <v>10.153135367662241</v>
      </c>
      <c r="J37">
        <f t="shared" si="28"/>
        <v>8.8051077681584129</v>
      </c>
      <c r="P37" t="s">
        <v>14</v>
      </c>
      <c r="Q37">
        <f t="shared" ref="Q37:W37" si="40">Q12/$Q12</f>
        <v>1</v>
      </c>
      <c r="R37">
        <f t="shared" si="40"/>
        <v>0.9483834577963981</v>
      </c>
      <c r="S37">
        <f t="shared" si="40"/>
        <v>0.8967669155927962</v>
      </c>
    </row>
    <row r="38" spans="2:23" x14ac:dyDescent="0.35">
      <c r="B38" s="3" t="s">
        <v>28</v>
      </c>
      <c r="C38" s="2">
        <v>30.73590297567236</v>
      </c>
      <c r="D38" s="2">
        <v>50.182467339712097</v>
      </c>
      <c r="E38" s="2">
        <v>40.960142805922082</v>
      </c>
      <c r="F38" s="2">
        <v>41.742592969767657</v>
      </c>
      <c r="G38">
        <f t="shared" si="30"/>
        <v>8.3825189933651885</v>
      </c>
      <c r="H38">
        <f t="shared" si="26"/>
        <v>13.686127456285117</v>
      </c>
      <c r="I38">
        <f t="shared" si="27"/>
        <v>11.170948037978748</v>
      </c>
      <c r="J38">
        <f t="shared" si="28"/>
        <v>11.384343537209361</v>
      </c>
      <c r="P38" t="s">
        <v>16</v>
      </c>
      <c r="Q38">
        <f t="shared" ref="Q38:W38" si="41">Q13/$Q13</f>
        <v>1</v>
      </c>
      <c r="R38">
        <f t="shared" si="41"/>
        <v>0.8</v>
      </c>
      <c r="S38">
        <f t="shared" si="41"/>
        <v>0.60000000000000009</v>
      </c>
      <c r="T38">
        <f t="shared" si="41"/>
        <v>0.40000000000000008</v>
      </c>
      <c r="U38">
        <f t="shared" si="41"/>
        <v>0.20000000000000007</v>
      </c>
      <c r="V38">
        <f t="shared" si="41"/>
        <v>0</v>
      </c>
    </row>
    <row r="39" spans="2:23" x14ac:dyDescent="0.35">
      <c r="B39" s="3" t="s">
        <v>1</v>
      </c>
      <c r="C39" s="2">
        <v>14.60494807355775</v>
      </c>
      <c r="D39" s="2">
        <v>21.258964926532968</v>
      </c>
      <c r="E39" s="2">
        <v>18.733926672832929</v>
      </c>
      <c r="F39" s="2">
        <v>13.93380090144753</v>
      </c>
      <c r="G39">
        <f t="shared" si="30"/>
        <v>3.9831676564248411</v>
      </c>
      <c r="H39">
        <f t="shared" si="26"/>
        <v>5.7978995254180825</v>
      </c>
      <c r="I39">
        <f t="shared" si="27"/>
        <v>5.1092527289544352</v>
      </c>
      <c r="J39">
        <f t="shared" si="28"/>
        <v>3.8001275185765993</v>
      </c>
      <c r="P39" t="s">
        <v>17</v>
      </c>
      <c r="Q39">
        <f t="shared" ref="Q39:W39" si="42">Q14/$Q14</f>
        <v>1</v>
      </c>
      <c r="R39">
        <f t="shared" si="42"/>
        <v>0.75444848440997125</v>
      </c>
    </row>
    <row r="40" spans="2:23" x14ac:dyDescent="0.35">
      <c r="B40" s="3" t="s">
        <v>8</v>
      </c>
      <c r="C40" s="2">
        <v>109.9142382545554</v>
      </c>
      <c r="D40" s="2">
        <v>130.59462906147959</v>
      </c>
      <c r="E40" s="2">
        <v>128.29583669782991</v>
      </c>
      <c r="F40" s="2">
        <v>100.8319853504448</v>
      </c>
      <c r="G40">
        <f t="shared" si="30"/>
        <v>29.976610433060561</v>
      </c>
      <c r="H40">
        <f t="shared" si="26"/>
        <v>35.616717016767161</v>
      </c>
      <c r="I40">
        <f t="shared" si="27"/>
        <v>34.989773644862701</v>
      </c>
      <c r="J40">
        <f t="shared" si="28"/>
        <v>27.499632368303125</v>
      </c>
      <c r="P40" t="s">
        <v>18</v>
      </c>
      <c r="Q40">
        <f t="shared" ref="Q40:W40" si="43">Q15/$Q15</f>
        <v>1</v>
      </c>
      <c r="R40">
        <f t="shared" si="43"/>
        <v>0.8108339577474426</v>
      </c>
      <c r="S40">
        <f t="shared" si="43"/>
        <v>0.62166791549488509</v>
      </c>
      <c r="T40">
        <f t="shared" si="43"/>
        <v>0.46625093662116379</v>
      </c>
      <c r="U40">
        <f t="shared" si="43"/>
        <v>0.31083395774744255</v>
      </c>
      <c r="V40">
        <f t="shared" si="43"/>
        <v>0.15541697887372127</v>
      </c>
      <c r="W40">
        <f t="shared" si="43"/>
        <v>0</v>
      </c>
    </row>
    <row r="41" spans="2:23" x14ac:dyDescent="0.35">
      <c r="B41" s="3" t="s">
        <v>21</v>
      </c>
      <c r="C41" s="2">
        <v>52.833441166306628</v>
      </c>
      <c r="D41" s="2">
        <v>59.493336226757442</v>
      </c>
      <c r="E41" s="2">
        <v>56.790717893581501</v>
      </c>
      <c r="F41" s="2">
        <v>48.942081076853043</v>
      </c>
      <c r="G41">
        <f t="shared" si="30"/>
        <v>14.409120318083627</v>
      </c>
      <c r="H41">
        <f t="shared" si="26"/>
        <v>16.225455334570213</v>
      </c>
      <c r="I41">
        <f t="shared" si="27"/>
        <v>15.488377607340409</v>
      </c>
      <c r="J41">
        <f t="shared" si="28"/>
        <v>13.347840293687193</v>
      </c>
      <c r="P41" t="s">
        <v>19</v>
      </c>
      <c r="Q41">
        <f t="shared" ref="Q41:W41" si="44">Q16/$Q16</f>
        <v>1</v>
      </c>
      <c r="R41">
        <f t="shared" si="44"/>
        <v>0.88350540983043502</v>
      </c>
      <c r="S41">
        <f t="shared" si="44"/>
        <v>0.70680432786434799</v>
      </c>
      <c r="T41">
        <f t="shared" si="44"/>
        <v>0.53010324589826108</v>
      </c>
      <c r="U41">
        <f t="shared" si="44"/>
        <v>0.35340216393217405</v>
      </c>
      <c r="V41">
        <f t="shared" si="44"/>
        <v>0.17670108196608705</v>
      </c>
      <c r="W41">
        <f t="shared" si="44"/>
        <v>0</v>
      </c>
    </row>
    <row r="42" spans="2:23" x14ac:dyDescent="0.35">
      <c r="B42" s="3" t="s">
        <v>7</v>
      </c>
      <c r="C42" s="2">
        <v>207.3137226249215</v>
      </c>
      <c r="D42" s="2">
        <v>211.4946970417424</v>
      </c>
      <c r="E42" s="2">
        <v>190.06572336051801</v>
      </c>
      <c r="F42" s="2">
        <v>168.9712856488178</v>
      </c>
      <c r="G42">
        <f t="shared" si="30"/>
        <v>56.540106170433134</v>
      </c>
      <c r="H42">
        <f t="shared" si="26"/>
        <v>57.680371920475203</v>
      </c>
      <c r="I42">
        <f t="shared" si="27"/>
        <v>51.83610637105037</v>
      </c>
      <c r="J42">
        <f t="shared" si="28"/>
        <v>46.083077904223039</v>
      </c>
      <c r="P42" t="s">
        <v>20</v>
      </c>
      <c r="Q42">
        <f t="shared" ref="Q42:W42" si="45">Q17/$Q17</f>
        <v>1</v>
      </c>
      <c r="R42">
        <f t="shared" si="45"/>
        <v>0.77386365677335112</v>
      </c>
      <c r="S42">
        <f t="shared" si="45"/>
        <v>0.66331170580572951</v>
      </c>
      <c r="T42">
        <f t="shared" si="45"/>
        <v>0.55275975483810791</v>
      </c>
      <c r="U42">
        <f t="shared" si="45"/>
        <v>0.44220780387048636</v>
      </c>
      <c r="V42">
        <f t="shared" si="45"/>
        <v>0.33165585290286476</v>
      </c>
      <c r="W42">
        <f t="shared" si="45"/>
        <v>0.22110390193524315</v>
      </c>
    </row>
    <row r="43" spans="2:23" x14ac:dyDescent="0.35">
      <c r="B43" s="3" t="s">
        <v>17</v>
      </c>
      <c r="C43" s="2">
        <v>111.2147961793557</v>
      </c>
      <c r="D43" s="2">
        <v>154.164384778901</v>
      </c>
      <c r="E43" s="2">
        <v>149.03770618611131</v>
      </c>
      <c r="F43" s="2">
        <v>122.60430338021111</v>
      </c>
      <c r="G43">
        <f t="shared" si="30"/>
        <v>30.331308048915194</v>
      </c>
      <c r="H43">
        <f t="shared" si="26"/>
        <v>42.044832212427544</v>
      </c>
      <c r="I43">
        <f t="shared" si="27"/>
        <v>40.646647141666719</v>
      </c>
      <c r="J43">
        <f t="shared" si="28"/>
        <v>33.437537285512121</v>
      </c>
      <c r="P43" t="s">
        <v>21</v>
      </c>
      <c r="Q43">
        <f t="shared" ref="Q43:W43" si="46">Q18/$Q18</f>
        <v>1</v>
      </c>
      <c r="R43">
        <f t="shared" si="46"/>
        <v>0.83428630541205184</v>
      </c>
      <c r="S43">
        <f t="shared" si="46"/>
        <v>0.66857261082410369</v>
      </c>
    </row>
    <row r="44" spans="2:23" x14ac:dyDescent="0.35">
      <c r="B44" s="3" t="s">
        <v>25</v>
      </c>
      <c r="C44" s="2">
        <v>30.818765852326202</v>
      </c>
      <c r="D44" s="2">
        <v>41.066209524947269</v>
      </c>
      <c r="E44" s="2">
        <v>42.587609853851752</v>
      </c>
      <c r="F44" s="2">
        <v>41.839178735159088</v>
      </c>
      <c r="G44">
        <f t="shared" si="30"/>
        <v>8.4051179597253274</v>
      </c>
      <c r="H44">
        <f t="shared" si="26"/>
        <v>11.199875324985619</v>
      </c>
      <c r="I44">
        <f t="shared" si="27"/>
        <v>11.614802687414114</v>
      </c>
      <c r="J44">
        <f t="shared" si="28"/>
        <v>11.410685109588842</v>
      </c>
      <c r="P44" t="s">
        <v>22</v>
      </c>
      <c r="Q44">
        <f t="shared" ref="Q44:W44" si="47">Q19/$Q19</f>
        <v>1</v>
      </c>
      <c r="R44">
        <f t="shared" si="47"/>
        <v>0.76094596290718963</v>
      </c>
      <c r="S44">
        <f t="shared" si="47"/>
        <v>0.52189192581437938</v>
      </c>
      <c r="T44">
        <f t="shared" si="47"/>
        <v>0.41751354065150348</v>
      </c>
      <c r="U44">
        <f t="shared" si="47"/>
        <v>0.31313515548862758</v>
      </c>
      <c r="V44">
        <f t="shared" si="47"/>
        <v>0.20875677032575171</v>
      </c>
      <c r="W44">
        <f t="shared" si="47"/>
        <v>0.10437838516287584</v>
      </c>
    </row>
    <row r="45" spans="2:23" x14ac:dyDescent="0.35">
      <c r="B45" s="3" t="s">
        <v>9</v>
      </c>
      <c r="C45" s="2">
        <v>264.37058792608332</v>
      </c>
      <c r="D45" s="2">
        <v>281.56524739092021</v>
      </c>
      <c r="E45" s="2">
        <v>269.92878638167252</v>
      </c>
      <c r="F45" s="2">
        <v>218.73582192594691</v>
      </c>
      <c r="G45">
        <f t="shared" si="30"/>
        <v>72.101069434386361</v>
      </c>
      <c r="H45">
        <f t="shared" si="26"/>
        <v>76.79052201570552</v>
      </c>
      <c r="I45">
        <f t="shared" si="27"/>
        <v>73.616941740456141</v>
      </c>
      <c r="J45">
        <f t="shared" si="28"/>
        <v>59.655224161621888</v>
      </c>
      <c r="P45" t="s">
        <v>23</v>
      </c>
      <c r="Q45">
        <f t="shared" ref="Q45:W45" si="48">Q20/$Q20</f>
        <v>1</v>
      </c>
      <c r="R45">
        <f t="shared" si="48"/>
        <v>0.83333333333333326</v>
      </c>
      <c r="S45">
        <f t="shared" si="48"/>
        <v>0.66666666666666663</v>
      </c>
      <c r="T45">
        <f t="shared" si="48"/>
        <v>0.49999999999999989</v>
      </c>
      <c r="U45">
        <f t="shared" si="48"/>
        <v>0.3333333333333332</v>
      </c>
      <c r="V45">
        <f t="shared" si="48"/>
        <v>0.16666666666666652</v>
      </c>
      <c r="W45">
        <f t="shared" si="48"/>
        <v>0</v>
      </c>
    </row>
    <row r="46" spans="2:23" x14ac:dyDescent="0.35">
      <c r="B46" s="3" t="s">
        <v>6</v>
      </c>
      <c r="C46" s="2">
        <v>8.8764566439052341</v>
      </c>
      <c r="D46" s="2">
        <v>11.203391513643179</v>
      </c>
      <c r="E46" s="2">
        <v>10.646413598687809</v>
      </c>
      <c r="F46" s="2">
        <v>10.365240191123011</v>
      </c>
      <c r="G46">
        <f t="shared" si="30"/>
        <v>2.4208518119741544</v>
      </c>
      <c r="H46">
        <f t="shared" si="26"/>
        <v>3.055470412811776</v>
      </c>
      <c r="I46">
        <f t="shared" si="27"/>
        <v>2.9035673450966755</v>
      </c>
      <c r="J46">
        <f t="shared" si="28"/>
        <v>2.8268836884880937</v>
      </c>
      <c r="P46" t="s">
        <v>24</v>
      </c>
      <c r="Q46">
        <f t="shared" ref="Q46:W46" si="49">Q21/$Q21</f>
        <v>1</v>
      </c>
      <c r="R46">
        <f t="shared" si="49"/>
        <v>0.7340957415804461</v>
      </c>
      <c r="S46">
        <f t="shared" si="49"/>
        <v>0.46819148316089221</v>
      </c>
      <c r="T46">
        <f t="shared" si="49"/>
        <v>0.36178432789705306</v>
      </c>
      <c r="U46">
        <f t="shared" si="49"/>
        <v>0.25537717263321391</v>
      </c>
      <c r="V46">
        <f t="shared" si="49"/>
        <v>0.14897001736937482</v>
      </c>
      <c r="W46">
        <f t="shared" si="49"/>
        <v>4.2562862105535691E-2</v>
      </c>
    </row>
    <row r="47" spans="2:23" x14ac:dyDescent="0.35">
      <c r="B47" s="3" t="s">
        <v>3</v>
      </c>
      <c r="C47" s="2">
        <v>5.4665476729964109</v>
      </c>
      <c r="D47" s="2">
        <v>6.8164806127681103</v>
      </c>
      <c r="E47" s="2">
        <v>5.9275464619232237</v>
      </c>
      <c r="F47" s="2">
        <v>6.0203906174760258</v>
      </c>
      <c r="G47">
        <f t="shared" si="30"/>
        <v>1.4908766380899301</v>
      </c>
      <c r="H47">
        <f t="shared" si="26"/>
        <v>1.8590401671185754</v>
      </c>
      <c r="I47">
        <f t="shared" si="27"/>
        <v>1.6166035805245154</v>
      </c>
      <c r="J47">
        <f t="shared" si="28"/>
        <v>1.641924713857098</v>
      </c>
      <c r="P47" t="s">
        <v>25</v>
      </c>
      <c r="Q47">
        <f t="shared" ref="Q47:W47" si="50">Q22/$Q22</f>
        <v>1</v>
      </c>
      <c r="R47">
        <f t="shared" si="50"/>
        <v>0.80171011741629772</v>
      </c>
      <c r="S47">
        <f t="shared" si="50"/>
        <v>0.60342023483259566</v>
      </c>
      <c r="T47">
        <f t="shared" si="50"/>
        <v>0.40513035224889343</v>
      </c>
      <c r="U47">
        <f t="shared" si="50"/>
        <v>0.33147028820364005</v>
      </c>
      <c r="V47">
        <f t="shared" si="50"/>
        <v>0.25781022415838667</v>
      </c>
      <c r="W47">
        <f t="shared" si="50"/>
        <v>0.18415016011313334</v>
      </c>
    </row>
    <row r="48" spans="2:23" x14ac:dyDescent="0.35">
      <c r="B48" s="3" t="s">
        <v>16</v>
      </c>
      <c r="C48" s="2">
        <v>95.083862335979489</v>
      </c>
      <c r="D48" s="2">
        <v>129.39963381621891</v>
      </c>
      <c r="E48" s="2">
        <v>116.76106793101781</v>
      </c>
      <c r="F48" s="2">
        <v>106.7670199929691</v>
      </c>
      <c r="G48">
        <f t="shared" si="30"/>
        <v>25.931962455267136</v>
      </c>
      <c r="H48">
        <f t="shared" si="26"/>
        <v>35.290809222605155</v>
      </c>
      <c r="I48">
        <f t="shared" si="27"/>
        <v>31.84392761755031</v>
      </c>
      <c r="J48">
        <f t="shared" si="28"/>
        <v>29.118278179900663</v>
      </c>
      <c r="P48" t="s">
        <v>26</v>
      </c>
      <c r="Q48">
        <f t="shared" ref="Q48:W48" si="51">Q23/$Q23</f>
        <v>1</v>
      </c>
      <c r="R48">
        <f t="shared" si="51"/>
        <v>0.80168213591906978</v>
      </c>
      <c r="S48">
        <f t="shared" si="51"/>
        <v>0.60336427183813945</v>
      </c>
      <c r="T48">
        <f t="shared" si="51"/>
        <v>0.45252320387860462</v>
      </c>
      <c r="U48">
        <f t="shared" si="51"/>
        <v>0.30168213591906973</v>
      </c>
      <c r="V48">
        <f t="shared" si="51"/>
        <v>0.15084106795953486</v>
      </c>
      <c r="W48">
        <f t="shared" si="51"/>
        <v>0</v>
      </c>
    </row>
    <row r="49" spans="2:23" x14ac:dyDescent="0.35">
      <c r="B49" s="3" t="s">
        <v>24</v>
      </c>
      <c r="C49" s="2">
        <v>71.649881399854507</v>
      </c>
      <c r="D49" s="2">
        <v>79.15901515440838</v>
      </c>
      <c r="E49" s="2">
        <v>79.205337574545766</v>
      </c>
      <c r="F49" s="2">
        <v>84.169482332035017</v>
      </c>
      <c r="G49">
        <f t="shared" si="30"/>
        <v>19.540876745414867</v>
      </c>
      <c r="H49">
        <f t="shared" si="26"/>
        <v>21.588822314838648</v>
      </c>
      <c r="I49">
        <f t="shared" si="27"/>
        <v>21.601455702148847</v>
      </c>
      <c r="J49">
        <f t="shared" si="28"/>
        <v>22.955313363282276</v>
      </c>
      <c r="P49" t="s">
        <v>28</v>
      </c>
      <c r="Q49">
        <f t="shared" ref="Q49:W49" si="52">Q24/$Q24</f>
        <v>1</v>
      </c>
      <c r="R49">
        <f t="shared" si="52"/>
        <v>0.83060185140907983</v>
      </c>
      <c r="S49">
        <f t="shared" si="52"/>
        <v>0.66120370281815966</v>
      </c>
      <c r="T49">
        <f t="shared" si="52"/>
        <v>0.49590277711361974</v>
      </c>
      <c r="U49">
        <f t="shared" si="52"/>
        <v>0.33060185140907983</v>
      </c>
      <c r="V49">
        <f t="shared" si="52"/>
        <v>0.16530092570453991</v>
      </c>
      <c r="W49">
        <f t="shared" si="5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2022-04-20T13:11:36Z</dcterms:created>
  <dcterms:modified xsi:type="dcterms:W3CDTF">2023-02-24T00:44:58Z</dcterms:modified>
</cp:coreProperties>
</file>