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\Contrib\Policies\State-CO2Rdx-Targets\"/>
    </mc:Choice>
  </mc:AlternateContent>
  <xr:revisionPtr revIDLastSave="0" documentId="13_ncr:1_{4C54E039-BDA1-4007-BC2E-FAEA4E8E37CB}" xr6:coauthVersionLast="47" xr6:coauthVersionMax="47" xr10:uidLastSave="{00000000-0000-0000-0000-000000000000}"/>
  <bookViews>
    <workbookView xWindow="5070" yWindow="5940" windowWidth="30460" windowHeight="18690" xr2:uid="{D596FE70-6872-4451-9059-90CC4719C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K55" i="1"/>
  <c r="K60" i="1"/>
  <c r="K59" i="1"/>
  <c r="K58" i="1"/>
  <c r="K57" i="1"/>
  <c r="K56" i="1"/>
  <c r="D57" i="1"/>
  <c r="D58" i="1" s="1"/>
  <c r="D59" i="1" s="1"/>
  <c r="C50" i="1"/>
  <c r="C49" i="1"/>
  <c r="C48" i="1"/>
  <c r="C47" i="1"/>
  <c r="F47" i="1" s="1"/>
  <c r="N37" i="1"/>
  <c r="K39" i="1"/>
  <c r="K40" i="1" s="1"/>
  <c r="K41" i="1" s="1"/>
  <c r="K42" i="1" s="1"/>
  <c r="I39" i="1"/>
  <c r="I40" i="1" s="1"/>
  <c r="I41" i="1" s="1"/>
  <c r="I42" i="1" s="1"/>
  <c r="N38" i="1"/>
  <c r="H28" i="1"/>
  <c r="K24" i="1"/>
  <c r="K23" i="1"/>
  <c r="K22" i="1"/>
  <c r="K21" i="1"/>
  <c r="K20" i="1"/>
  <c r="K19" i="1"/>
  <c r="I12" i="1"/>
  <c r="I11" i="1"/>
  <c r="Q24" i="1"/>
  <c r="Q23" i="1"/>
  <c r="Q22" i="1"/>
  <c r="Q21" i="1"/>
  <c r="Q20" i="1"/>
  <c r="Q19" i="1"/>
  <c r="F32" i="1"/>
  <c r="F31" i="1"/>
  <c r="B30" i="1"/>
  <c r="B31" i="1" s="1"/>
  <c r="B32" i="1" s="1"/>
  <c r="B33" i="1" s="1"/>
  <c r="D30" i="1"/>
  <c r="D31" i="1" s="1"/>
  <c r="D32" i="1" s="1"/>
  <c r="D33" i="1" s="1"/>
  <c r="F30" i="1"/>
  <c r="F13" i="1"/>
  <c r="F14" i="1" s="1"/>
  <c r="F15" i="1" s="1"/>
  <c r="F16" i="1" s="1"/>
  <c r="I16" i="1" s="1"/>
  <c r="F29" i="1"/>
  <c r="H29" i="1" s="1"/>
  <c r="X2" i="1"/>
  <c r="L6" i="1"/>
  <c r="L5" i="1"/>
  <c r="L4" i="1"/>
  <c r="L3" i="1"/>
  <c r="X3" i="1" s="1"/>
  <c r="T4" i="1"/>
  <c r="T5" i="1" s="1"/>
  <c r="T6" i="1" s="1"/>
  <c r="T7" i="1" s="1"/>
  <c r="Q4" i="1"/>
  <c r="Q5" i="1" s="1"/>
  <c r="Q6" i="1" s="1"/>
  <c r="Q7" i="1" s="1"/>
  <c r="I4" i="1"/>
  <c r="D60" i="1" l="1"/>
  <c r="H33" i="1"/>
  <c r="I13" i="1"/>
  <c r="I14" i="1"/>
  <c r="F49" i="1"/>
  <c r="F48" i="1"/>
  <c r="H30" i="1"/>
  <c r="I15" i="1"/>
  <c r="H31" i="1"/>
  <c r="X4" i="1"/>
  <c r="I5" i="1"/>
  <c r="I6" i="1" s="1"/>
  <c r="I7" i="1" s="1"/>
  <c r="X7" i="1" s="1"/>
  <c r="H32" i="1"/>
  <c r="N40" i="1"/>
  <c r="N39" i="1"/>
  <c r="X6" i="1" l="1"/>
  <c r="F51" i="1"/>
  <c r="F50" i="1"/>
  <c r="X5" i="1"/>
  <c r="N42" i="1"/>
  <c r="N41" i="1"/>
</calcChain>
</file>

<file path=xl/sharedStrings.xml><?xml version="1.0" encoding="utf-8"?>
<sst xmlns="http://schemas.openxmlformats.org/spreadsheetml/2006/main" count="109" uniqueCount="36">
  <si>
    <t>#Regions: WA</t>
  </si>
  <si>
    <t xml:space="preserve">#Table data:2025 </t>
  </si>
  <si>
    <t xml:space="preserve">#Table data:2030 </t>
  </si>
  <si>
    <t xml:space="preserve">#Table data:2035 </t>
  </si>
  <si>
    <t xml:space="preserve">#Table data:2040 </t>
  </si>
  <si>
    <t xml:space="preserve">#Table data:2045 </t>
  </si>
  <si>
    <t xml:space="preserve">#Table data:2050 </t>
  </si>
  <si>
    <t>VT</t>
  </si>
  <si>
    <t>VA</t>
  </si>
  <si>
    <t>RI</t>
  </si>
  <si>
    <t>PA</t>
  </si>
  <si>
    <t>OR</t>
  </si>
  <si>
    <t>NY</t>
  </si>
  <si>
    <t>NM</t>
  </si>
  <si>
    <t>NJ</t>
  </si>
  <si>
    <t>NH</t>
  </si>
  <si>
    <t>NC</t>
  </si>
  <si>
    <t>MT</t>
  </si>
  <si>
    <t>MN</t>
  </si>
  <si>
    <t>MI</t>
  </si>
  <si>
    <t>ME</t>
  </si>
  <si>
    <t>MD</t>
  </si>
  <si>
    <t>MA</t>
  </si>
  <si>
    <t>LA</t>
  </si>
  <si>
    <t>DE</t>
  </si>
  <si>
    <t>CT</t>
  </si>
  <si>
    <t>CO</t>
  </si>
  <si>
    <t>CA</t>
  </si>
  <si>
    <t>total</t>
  </si>
  <si>
    <t>NESCAUM</t>
  </si>
  <si>
    <t>Central</t>
  </si>
  <si>
    <t>MARAMA</t>
  </si>
  <si>
    <t>WRAP</t>
  </si>
  <si>
    <t>Northeast</t>
  </si>
  <si>
    <t>Southeast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</si>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</sst>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792E-58F8-40B2-9B0F-5A8107ED428B}">
  <dimension ref="A1:X60"/>
  <sheetViews>
    <sheetView tabSelected="1" topLeftCell="A16" workbookViewId="0">
      <selection activeCell="M37" sqref="M37:N42"/>
    </sheetView>
  </sheetViews>
  <sheetFormatPr defaultRowHeight="14.5" x14ac:dyDescent="0.35"/>
  <sheetData>
    <row r="1" spans="1:24" x14ac:dyDescent="0.35">
      <c r="A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</row>
    <row r="2" spans="1:24" x14ac:dyDescent="0.35">
      <c r="A2" t="s">
        <v>1</v>
      </c>
      <c r="B2">
        <v>16.85139779</v>
      </c>
      <c r="C2">
        <v>1.2682253480000001</v>
      </c>
      <c r="D2">
        <v>23.294622539999999</v>
      </c>
      <c r="E2">
        <v>2.3284119579999998</v>
      </c>
      <c r="F2">
        <v>56.824986289999998</v>
      </c>
      <c r="G2">
        <v>9.1480616989999994</v>
      </c>
      <c r="H2">
        <v>40.003570799999999</v>
      </c>
      <c r="I2">
        <v>11.13592036</v>
      </c>
      <c r="J2">
        <v>23.915580649999999</v>
      </c>
      <c r="K2">
        <v>3.1865341250000001</v>
      </c>
      <c r="L2">
        <v>25.226899329999998</v>
      </c>
      <c r="M2">
        <v>7.3375898069999996</v>
      </c>
      <c r="N2">
        <v>19.435872100000001</v>
      </c>
      <c r="O2">
        <v>38.36983206</v>
      </c>
      <c r="P2">
        <v>3.3844764280000001</v>
      </c>
      <c r="Q2">
        <v>14.70981495</v>
      </c>
      <c r="R2">
        <v>14.29033167</v>
      </c>
      <c r="S2">
        <v>43.097885550000001</v>
      </c>
      <c r="T2">
        <v>3.3975316690000001</v>
      </c>
      <c r="U2">
        <v>7.752645255</v>
      </c>
      <c r="V2">
        <v>19.03624203</v>
      </c>
      <c r="W2">
        <v>78.309267219999995</v>
      </c>
      <c r="X2">
        <f>SUM(B2:W2)</f>
        <v>462.305699629</v>
      </c>
    </row>
    <row r="3" spans="1:24" x14ac:dyDescent="0.35">
      <c r="A3" t="s">
        <v>2</v>
      </c>
      <c r="B3">
        <v>10.747482209999999</v>
      </c>
      <c r="C3">
        <v>0.89452598299999997</v>
      </c>
      <c r="D3">
        <v>17.470966910000001</v>
      </c>
      <c r="E3">
        <v>1.829940227</v>
      </c>
      <c r="F3">
        <v>48.53160991</v>
      </c>
      <c r="G3">
        <v>6.8854382879999996</v>
      </c>
      <c r="H3">
        <v>33.924063699999998</v>
      </c>
      <c r="I3">
        <v>8.9240004339999999</v>
      </c>
      <c r="J3">
        <v>20.331528939999998</v>
      </c>
      <c r="K3">
        <v>2.708554006</v>
      </c>
      <c r="L3" s="1">
        <f>4/5*L2</f>
        <v>20.181519464000001</v>
      </c>
      <c r="M3">
        <v>5.870071845</v>
      </c>
      <c r="N3">
        <v>16.659318939999999</v>
      </c>
      <c r="O3">
        <v>30.695865649999998</v>
      </c>
      <c r="P3">
        <v>2.8344787600000001</v>
      </c>
      <c r="Q3">
        <v>13.90922129</v>
      </c>
      <c r="R3">
        <v>11.3100521</v>
      </c>
      <c r="S3">
        <v>33.043229650000001</v>
      </c>
      <c r="T3">
        <v>3.0888155689999999</v>
      </c>
      <c r="U3">
        <v>5.5148373130000001</v>
      </c>
      <c r="V3">
        <v>13.05593498</v>
      </c>
      <c r="W3">
        <v>58.937341719999999</v>
      </c>
      <c r="X3">
        <f t="shared" ref="X3:X7" si="0">SUM(B3:W3)</f>
        <v>367.34879788900002</v>
      </c>
    </row>
    <row r="4" spans="1:24" x14ac:dyDescent="0.35">
      <c r="A4" t="s">
        <v>3</v>
      </c>
      <c r="B4">
        <v>8.3048726169999991</v>
      </c>
      <c r="C4">
        <v>0.74543831900000002</v>
      </c>
      <c r="D4">
        <v>11.647311269999999</v>
      </c>
      <c r="E4">
        <v>1.3314684969999999</v>
      </c>
      <c r="F4">
        <v>40.238233540000003</v>
      </c>
      <c r="G4">
        <v>4.6228148779999998</v>
      </c>
      <c r="H4">
        <v>27.563301760000002</v>
      </c>
      <c r="I4" s="1">
        <f>I3</f>
        <v>8.9240004339999999</v>
      </c>
      <c r="J4">
        <v>16.747477230000001</v>
      </c>
      <c r="K4">
        <v>2.2305738879999999</v>
      </c>
      <c r="L4" s="1">
        <f>3/5*L2</f>
        <v>15.136139597999998</v>
      </c>
      <c r="M4">
        <v>4.4025538839999996</v>
      </c>
      <c r="N4">
        <v>13.88276578</v>
      </c>
      <c r="O4">
        <v>23.02189924</v>
      </c>
      <c r="P4">
        <v>2.3835389569999998</v>
      </c>
      <c r="Q4" s="1">
        <f>Q3</f>
        <v>13.90922129</v>
      </c>
      <c r="R4">
        <v>9.3307929789999999</v>
      </c>
      <c r="S4">
        <v>24.782422239999999</v>
      </c>
      <c r="T4" s="1">
        <f>T3</f>
        <v>3.0888155689999999</v>
      </c>
      <c r="U4">
        <v>4.5497407829999998</v>
      </c>
      <c r="V4">
        <v>10.444747980000001</v>
      </c>
      <c r="W4">
        <v>44.203006289999998</v>
      </c>
      <c r="X4">
        <f t="shared" si="0"/>
        <v>291.49113702299996</v>
      </c>
    </row>
    <row r="5" spans="1:24" x14ac:dyDescent="0.35">
      <c r="A5" t="s">
        <v>4</v>
      </c>
      <c r="B5">
        <v>5.8622630239999998</v>
      </c>
      <c r="C5">
        <v>0.59635065499999995</v>
      </c>
      <c r="D5">
        <v>5.8236556359999998</v>
      </c>
      <c r="E5">
        <v>1.0490357850000001</v>
      </c>
      <c r="F5">
        <v>31.944857160000002</v>
      </c>
      <c r="G5">
        <v>3.7823030819999999</v>
      </c>
      <c r="H5">
        <v>21.202539810000001</v>
      </c>
      <c r="I5" s="1">
        <f t="shared" ref="I5:I7" si="1">I4</f>
        <v>8.9240004339999999</v>
      </c>
      <c r="J5">
        <v>13.16342551</v>
      </c>
      <c r="K5">
        <v>1.752593769</v>
      </c>
      <c r="L5" s="1">
        <f>2/5*L2</f>
        <v>10.090759732</v>
      </c>
      <c r="M5">
        <v>2.935035923</v>
      </c>
      <c r="N5">
        <v>11.10621263</v>
      </c>
      <c r="O5">
        <v>15.34793282</v>
      </c>
      <c r="P5">
        <v>1.9325991549999999</v>
      </c>
      <c r="Q5" s="1">
        <f t="shared" ref="Q5:Q7" si="2">Q4</f>
        <v>13.90922129</v>
      </c>
      <c r="R5">
        <v>7.3515338620000001</v>
      </c>
      <c r="S5">
        <v>16.52161482</v>
      </c>
      <c r="T5" s="1">
        <f t="shared" ref="T5:T7" si="3">T4</f>
        <v>3.0888155689999999</v>
      </c>
      <c r="U5">
        <v>3.584644253</v>
      </c>
      <c r="V5">
        <v>7.8335609870000003</v>
      </c>
      <c r="W5">
        <v>29.46867086</v>
      </c>
      <c r="X5">
        <f t="shared" si="0"/>
        <v>217.271626766</v>
      </c>
    </row>
    <row r="6" spans="1:24" x14ac:dyDescent="0.35">
      <c r="A6" t="s">
        <v>5</v>
      </c>
      <c r="B6">
        <v>3.4196534299999999</v>
      </c>
      <c r="C6">
        <v>0.447262991</v>
      </c>
      <c r="D6">
        <v>0</v>
      </c>
      <c r="E6">
        <v>0.76660307400000005</v>
      </c>
      <c r="F6">
        <v>23.65148078</v>
      </c>
      <c r="G6">
        <v>2.9417912859999999</v>
      </c>
      <c r="H6">
        <v>14.84177787</v>
      </c>
      <c r="I6" s="1">
        <f t="shared" si="1"/>
        <v>8.9240004339999999</v>
      </c>
      <c r="J6">
        <v>9.5793738000000008</v>
      </c>
      <c r="K6">
        <v>1.27461365</v>
      </c>
      <c r="L6" s="1">
        <f>L2/5</f>
        <v>5.0453798659999993</v>
      </c>
      <c r="M6">
        <v>1.467517961</v>
      </c>
      <c r="N6">
        <v>8.3296594699999993</v>
      </c>
      <c r="O6">
        <v>7.6739664120000004</v>
      </c>
      <c r="P6">
        <v>1.4816593520000001</v>
      </c>
      <c r="Q6" s="1">
        <f t="shared" si="2"/>
        <v>13.90922129</v>
      </c>
      <c r="R6">
        <v>5.3722747460000004</v>
      </c>
      <c r="S6">
        <v>8.2608074120000001</v>
      </c>
      <c r="T6" s="1">
        <f t="shared" si="3"/>
        <v>3.0888155689999999</v>
      </c>
      <c r="U6">
        <v>2.6195477239999998</v>
      </c>
      <c r="V6">
        <v>5.2223739910000004</v>
      </c>
      <c r="W6">
        <v>14.73433543</v>
      </c>
      <c r="X6">
        <f t="shared" si="0"/>
        <v>143.05211653800001</v>
      </c>
    </row>
    <row r="7" spans="1:24" x14ac:dyDescent="0.35">
      <c r="A7" t="s">
        <v>6</v>
      </c>
      <c r="B7">
        <v>0.97704383699999997</v>
      </c>
      <c r="C7">
        <v>0.29817532800000002</v>
      </c>
      <c r="D7">
        <v>0</v>
      </c>
      <c r="E7">
        <v>0.48417036200000002</v>
      </c>
      <c r="F7">
        <v>15.3581044</v>
      </c>
      <c r="G7">
        <v>2.10127949</v>
      </c>
      <c r="H7">
        <v>8.4810159259999995</v>
      </c>
      <c r="I7" s="1">
        <f t="shared" si="1"/>
        <v>8.9240004339999999</v>
      </c>
      <c r="J7">
        <v>5.9953220869999999</v>
      </c>
      <c r="K7">
        <v>0.79663353100000001</v>
      </c>
      <c r="L7" s="1">
        <v>0</v>
      </c>
      <c r="M7">
        <v>0</v>
      </c>
      <c r="N7">
        <v>5.5531063129999998</v>
      </c>
      <c r="O7">
        <v>0</v>
      </c>
      <c r="P7">
        <v>1.0307195490000001</v>
      </c>
      <c r="Q7" s="1">
        <f t="shared" si="2"/>
        <v>13.90922129</v>
      </c>
      <c r="R7">
        <v>3.3930156290000002</v>
      </c>
      <c r="S7">
        <v>0</v>
      </c>
      <c r="T7" s="1">
        <f t="shared" si="3"/>
        <v>3.0888155689999999</v>
      </c>
      <c r="U7">
        <v>1.654451194</v>
      </c>
      <c r="V7">
        <v>2.6111869959999998</v>
      </c>
      <c r="W7">
        <v>0</v>
      </c>
      <c r="X7">
        <f t="shared" si="0"/>
        <v>74.656261935000003</v>
      </c>
    </row>
    <row r="10" spans="1:24" x14ac:dyDescent="0.35">
      <c r="A10" t="s">
        <v>0</v>
      </c>
      <c r="C10" t="s">
        <v>26</v>
      </c>
      <c r="D10" t="s">
        <v>27</v>
      </c>
      <c r="E10" t="s">
        <v>11</v>
      </c>
      <c r="F10" t="s">
        <v>13</v>
      </c>
      <c r="G10" t="s">
        <v>17</v>
      </c>
      <c r="I10" t="s">
        <v>32</v>
      </c>
    </row>
    <row r="11" spans="1:24" x14ac:dyDescent="0.35">
      <c r="A11" t="s">
        <v>1</v>
      </c>
      <c r="B11">
        <v>16.85139779</v>
      </c>
      <c r="C11">
        <v>19.03624203</v>
      </c>
      <c r="D11">
        <v>78.309267219999995</v>
      </c>
      <c r="E11">
        <v>9.1480616989999994</v>
      </c>
      <c r="F11">
        <v>11.13592036</v>
      </c>
      <c r="G11">
        <v>7.3375898069999996</v>
      </c>
      <c r="H11">
        <v>2025</v>
      </c>
      <c r="I11">
        <f t="shared" ref="I11:I16" si="4">SUM(B11:G11)</f>
        <v>141.818478906</v>
      </c>
    </row>
    <row r="12" spans="1:24" x14ac:dyDescent="0.35">
      <c r="A12" t="s">
        <v>2</v>
      </c>
      <c r="B12">
        <v>10.747482209999999</v>
      </c>
      <c r="C12">
        <v>13.05593498</v>
      </c>
      <c r="D12">
        <v>58.937341719999999</v>
      </c>
      <c r="E12">
        <v>6.8854382879999996</v>
      </c>
      <c r="F12">
        <v>8.9240004339999999</v>
      </c>
      <c r="G12">
        <v>5.870071845</v>
      </c>
      <c r="H12">
        <v>2030</v>
      </c>
      <c r="I12">
        <f t="shared" si="4"/>
        <v>104.42026947699999</v>
      </c>
    </row>
    <row r="13" spans="1:24" x14ac:dyDescent="0.35">
      <c r="A13" t="s">
        <v>3</v>
      </c>
      <c r="B13">
        <v>8.3048726169999991</v>
      </c>
      <c r="C13">
        <v>10.444747980000001</v>
      </c>
      <c r="D13">
        <v>44.203006289999998</v>
      </c>
      <c r="E13">
        <v>4.6228148779999998</v>
      </c>
      <c r="F13" s="1">
        <f>F12</f>
        <v>8.9240004339999999</v>
      </c>
      <c r="G13">
        <v>4.4025538839999996</v>
      </c>
      <c r="H13">
        <v>2035</v>
      </c>
      <c r="I13">
        <f t="shared" si="4"/>
        <v>80.901996082999986</v>
      </c>
    </row>
    <row r="14" spans="1:24" x14ac:dyDescent="0.35">
      <c r="A14" t="s">
        <v>4</v>
      </c>
      <c r="B14">
        <v>5.8622630239999998</v>
      </c>
      <c r="C14">
        <v>7.8335609870000003</v>
      </c>
      <c r="D14">
        <v>29.46867086</v>
      </c>
      <c r="E14">
        <v>3.7823030819999999</v>
      </c>
      <c r="F14" s="1">
        <f t="shared" ref="F14:F16" si="5">F13</f>
        <v>8.9240004339999999</v>
      </c>
      <c r="G14">
        <v>2.935035923</v>
      </c>
      <c r="H14">
        <v>2040</v>
      </c>
      <c r="I14">
        <f t="shared" si="4"/>
        <v>58.805834310000002</v>
      </c>
    </row>
    <row r="15" spans="1:24" x14ac:dyDescent="0.35">
      <c r="A15" t="s">
        <v>5</v>
      </c>
      <c r="B15">
        <v>3.4196534299999999</v>
      </c>
      <c r="C15">
        <v>5.2223739910000004</v>
      </c>
      <c r="D15">
        <v>14.73433543</v>
      </c>
      <c r="E15">
        <v>2.9417912859999999</v>
      </c>
      <c r="F15" s="1">
        <f t="shared" si="5"/>
        <v>8.9240004339999999</v>
      </c>
      <c r="G15">
        <v>1.467517961</v>
      </c>
      <c r="H15">
        <v>2045</v>
      </c>
      <c r="I15">
        <f t="shared" si="4"/>
        <v>36.709672531999999</v>
      </c>
    </row>
    <row r="16" spans="1:24" x14ac:dyDescent="0.35">
      <c r="A16" t="s">
        <v>6</v>
      </c>
      <c r="B16">
        <v>0.97704383699999997</v>
      </c>
      <c r="C16">
        <v>2.6111869959999998</v>
      </c>
      <c r="D16">
        <v>0</v>
      </c>
      <c r="E16">
        <v>2.10127949</v>
      </c>
      <c r="F16" s="1">
        <f t="shared" si="5"/>
        <v>8.9240004339999999</v>
      </c>
      <c r="G16">
        <v>0</v>
      </c>
      <c r="H16">
        <v>2050</v>
      </c>
      <c r="I16">
        <f t="shared" si="4"/>
        <v>14.613510757</v>
      </c>
    </row>
    <row r="18" spans="2:17" x14ac:dyDescent="0.35">
      <c r="B18" t="s">
        <v>7</v>
      </c>
      <c r="C18" t="s">
        <v>9</v>
      </c>
      <c r="D18" t="s">
        <v>15</v>
      </c>
      <c r="E18" t="s">
        <v>20</v>
      </c>
      <c r="F18" t="s">
        <v>22</v>
      </c>
      <c r="G18" t="s">
        <v>25</v>
      </c>
      <c r="H18" t="s">
        <v>12</v>
      </c>
      <c r="I18" t="s">
        <v>14</v>
      </c>
      <c r="K18" t="s">
        <v>29</v>
      </c>
      <c r="M18" t="s">
        <v>18</v>
      </c>
      <c r="N18" t="s">
        <v>19</v>
      </c>
      <c r="O18" t="s">
        <v>23</v>
      </c>
      <c r="Q18" t="s">
        <v>30</v>
      </c>
    </row>
    <row r="19" spans="2:17" x14ac:dyDescent="0.35">
      <c r="B19">
        <v>1.2682253480000001</v>
      </c>
      <c r="C19">
        <v>2.3284119579999998</v>
      </c>
      <c r="D19">
        <v>3.1865341250000001</v>
      </c>
      <c r="E19">
        <v>3.3844764280000001</v>
      </c>
      <c r="F19">
        <v>14.29033167</v>
      </c>
      <c r="G19">
        <v>7.752645255</v>
      </c>
      <c r="H19">
        <v>40.003570799999999</v>
      </c>
      <c r="I19">
        <v>23.915580649999999</v>
      </c>
      <c r="J19">
        <v>2025</v>
      </c>
      <c r="K19">
        <f>SUM(B19:I19)</f>
        <v>96.129776233999991</v>
      </c>
      <c r="M19">
        <v>19.435872100000001</v>
      </c>
      <c r="N19">
        <v>38.36983206</v>
      </c>
      <c r="O19">
        <v>43.097885550000001</v>
      </c>
      <c r="P19">
        <v>2025</v>
      </c>
      <c r="Q19">
        <f t="shared" ref="Q19:Q24" si="6">SUM(M19:O19)</f>
        <v>100.90358971000001</v>
      </c>
    </row>
    <row r="20" spans="2:17" x14ac:dyDescent="0.35">
      <c r="B20">
        <v>0.89452598299999997</v>
      </c>
      <c r="C20">
        <v>1.829940227</v>
      </c>
      <c r="D20">
        <v>2.708554006</v>
      </c>
      <c r="E20">
        <v>2.8344787600000001</v>
      </c>
      <c r="F20">
        <v>11.3100521</v>
      </c>
      <c r="G20">
        <v>5.5148373130000001</v>
      </c>
      <c r="H20">
        <v>33.924063699999998</v>
      </c>
      <c r="I20">
        <v>20.331528939999998</v>
      </c>
      <c r="J20">
        <v>2030</v>
      </c>
      <c r="K20">
        <f t="shared" ref="K20:K24" si="7">SUM(B20:I20)</f>
        <v>79.347981028999996</v>
      </c>
      <c r="M20">
        <v>16.659318939999999</v>
      </c>
      <c r="N20">
        <v>30.695865649999998</v>
      </c>
      <c r="O20">
        <v>33.043229650000001</v>
      </c>
      <c r="P20">
        <v>2030</v>
      </c>
      <c r="Q20">
        <f t="shared" si="6"/>
        <v>80.398414239999994</v>
      </c>
    </row>
    <row r="21" spans="2:17" x14ac:dyDescent="0.35">
      <c r="B21">
        <v>0.74543831900000002</v>
      </c>
      <c r="C21">
        <v>1.3314684969999999</v>
      </c>
      <c r="D21">
        <v>2.2305738879999999</v>
      </c>
      <c r="E21">
        <v>2.3835389569999998</v>
      </c>
      <c r="F21">
        <v>9.3307929789999999</v>
      </c>
      <c r="G21">
        <v>4.5497407829999998</v>
      </c>
      <c r="H21">
        <v>27.563301760000002</v>
      </c>
      <c r="I21">
        <v>16.747477230000001</v>
      </c>
      <c r="J21">
        <v>2035</v>
      </c>
      <c r="K21">
        <f t="shared" si="7"/>
        <v>64.882332413</v>
      </c>
      <c r="M21">
        <v>13.88276578</v>
      </c>
      <c r="N21">
        <v>23.02189924</v>
      </c>
      <c r="O21">
        <v>24.782422239999999</v>
      </c>
      <c r="P21">
        <v>2035</v>
      </c>
      <c r="Q21">
        <f t="shared" si="6"/>
        <v>61.687087259999998</v>
      </c>
    </row>
    <row r="22" spans="2:17" x14ac:dyDescent="0.35">
      <c r="B22">
        <v>0.59635065499999995</v>
      </c>
      <c r="C22">
        <v>1.0490357850000001</v>
      </c>
      <c r="D22">
        <v>1.752593769</v>
      </c>
      <c r="E22">
        <v>1.9325991549999999</v>
      </c>
      <c r="F22">
        <v>7.3515338620000001</v>
      </c>
      <c r="G22">
        <v>3.584644253</v>
      </c>
      <c r="H22">
        <v>21.202539810000001</v>
      </c>
      <c r="I22">
        <v>13.16342551</v>
      </c>
      <c r="J22">
        <v>2040</v>
      </c>
      <c r="K22">
        <f t="shared" si="7"/>
        <v>50.632722798999993</v>
      </c>
      <c r="M22">
        <v>11.10621263</v>
      </c>
      <c r="N22">
        <v>15.34793282</v>
      </c>
      <c r="O22">
        <v>16.52161482</v>
      </c>
      <c r="P22">
        <v>2040</v>
      </c>
      <c r="Q22">
        <f t="shared" si="6"/>
        <v>42.975760269999995</v>
      </c>
    </row>
    <row r="23" spans="2:17" x14ac:dyDescent="0.35">
      <c r="B23">
        <v>0.447262991</v>
      </c>
      <c r="C23">
        <v>0.76660307400000005</v>
      </c>
      <c r="D23">
        <v>1.27461365</v>
      </c>
      <c r="E23">
        <v>1.4816593520000001</v>
      </c>
      <c r="F23">
        <v>5.3722747460000004</v>
      </c>
      <c r="G23">
        <v>2.6195477239999998</v>
      </c>
      <c r="H23">
        <v>14.84177787</v>
      </c>
      <c r="I23">
        <v>9.5793738000000008</v>
      </c>
      <c r="J23">
        <v>2045</v>
      </c>
      <c r="K23">
        <f t="shared" si="7"/>
        <v>36.383113207000001</v>
      </c>
      <c r="M23">
        <v>8.3296594699999993</v>
      </c>
      <c r="N23">
        <v>7.6739664120000004</v>
      </c>
      <c r="O23">
        <v>8.2608074120000001</v>
      </c>
      <c r="P23">
        <v>2045</v>
      </c>
      <c r="Q23">
        <f t="shared" si="6"/>
        <v>24.264433294</v>
      </c>
    </row>
    <row r="24" spans="2:17" x14ac:dyDescent="0.35">
      <c r="B24">
        <v>0.29817532800000002</v>
      </c>
      <c r="C24">
        <v>0.48417036200000002</v>
      </c>
      <c r="D24">
        <v>0.79663353100000001</v>
      </c>
      <c r="E24">
        <v>1.0307195490000001</v>
      </c>
      <c r="F24">
        <v>3.3930156290000002</v>
      </c>
      <c r="G24">
        <v>1.654451194</v>
      </c>
      <c r="H24">
        <v>8.4810159259999995</v>
      </c>
      <c r="I24">
        <v>5.9953220869999999</v>
      </c>
      <c r="J24">
        <v>2050</v>
      </c>
      <c r="K24">
        <f t="shared" si="7"/>
        <v>22.133503605999998</v>
      </c>
      <c r="M24">
        <v>5.5531063129999998</v>
      </c>
      <c r="N24">
        <v>0</v>
      </c>
      <c r="O24">
        <v>0</v>
      </c>
      <c r="P24">
        <v>2050</v>
      </c>
      <c r="Q24">
        <f t="shared" si="6"/>
        <v>5.5531063129999998</v>
      </c>
    </row>
    <row r="27" spans="2:17" x14ac:dyDescent="0.35">
      <c r="B27" t="s">
        <v>24</v>
      </c>
      <c r="C27" t="s">
        <v>10</v>
      </c>
      <c r="D27" t="s">
        <v>21</v>
      </c>
      <c r="E27" t="s">
        <v>8</v>
      </c>
      <c r="F27" t="s">
        <v>16</v>
      </c>
      <c r="H27" t="s">
        <v>31</v>
      </c>
    </row>
    <row r="28" spans="2:17" x14ac:dyDescent="0.35">
      <c r="B28">
        <v>3.3975316690000001</v>
      </c>
      <c r="C28">
        <v>56.824986289999998</v>
      </c>
      <c r="D28">
        <v>14.70981495</v>
      </c>
      <c r="E28">
        <v>23.294622539999999</v>
      </c>
      <c r="F28">
        <v>25.226899329999998</v>
      </c>
      <c r="G28">
        <v>2025</v>
      </c>
      <c r="H28">
        <f t="shared" ref="H28:H33" si="8">SUM(B28:F28)</f>
        <v>123.453854779</v>
      </c>
    </row>
    <row r="29" spans="2:17" x14ac:dyDescent="0.35">
      <c r="B29">
        <v>3.0888155689999999</v>
      </c>
      <c r="C29">
        <v>48.53160991</v>
      </c>
      <c r="D29">
        <v>13.90922129</v>
      </c>
      <c r="E29">
        <v>17.470966910000001</v>
      </c>
      <c r="F29" s="1">
        <f>4/5*F28</f>
        <v>20.181519464000001</v>
      </c>
      <c r="G29">
        <v>2030</v>
      </c>
      <c r="H29">
        <f t="shared" si="8"/>
        <v>103.182133143</v>
      </c>
    </row>
    <row r="30" spans="2:17" x14ac:dyDescent="0.35">
      <c r="B30" s="1">
        <f>B29</f>
        <v>3.0888155689999999</v>
      </c>
      <c r="C30">
        <v>40.238233540000003</v>
      </c>
      <c r="D30" s="1">
        <f>D29</f>
        <v>13.90922129</v>
      </c>
      <c r="E30">
        <v>11.647311269999999</v>
      </c>
      <c r="F30" s="1">
        <f>3/5*F28</f>
        <v>15.136139597999998</v>
      </c>
      <c r="G30">
        <v>2035</v>
      </c>
      <c r="H30">
        <f t="shared" si="8"/>
        <v>84.019721266999994</v>
      </c>
    </row>
    <row r="31" spans="2:17" x14ac:dyDescent="0.35">
      <c r="B31" s="1">
        <f t="shared" ref="B31:B33" si="9">B30</f>
        <v>3.0888155689999999</v>
      </c>
      <c r="C31">
        <v>31.944857160000002</v>
      </c>
      <c r="D31" s="1">
        <f t="shared" ref="D31:D33" si="10">D30</f>
        <v>13.90922129</v>
      </c>
      <c r="E31">
        <v>5.8236556359999998</v>
      </c>
      <c r="F31" s="1">
        <f>2/5*F28</f>
        <v>10.090759732</v>
      </c>
      <c r="G31">
        <v>2040</v>
      </c>
      <c r="H31">
        <f t="shared" si="8"/>
        <v>64.857309387000001</v>
      </c>
    </row>
    <row r="32" spans="2:17" x14ac:dyDescent="0.35">
      <c r="B32" s="1">
        <f t="shared" si="9"/>
        <v>3.0888155689999999</v>
      </c>
      <c r="C32">
        <v>23.65148078</v>
      </c>
      <c r="D32" s="1">
        <f t="shared" si="10"/>
        <v>13.90922129</v>
      </c>
      <c r="E32">
        <v>0</v>
      </c>
      <c r="F32" s="1">
        <f>F28/5</f>
        <v>5.0453798659999993</v>
      </c>
      <c r="G32">
        <v>2045</v>
      </c>
      <c r="H32">
        <f t="shared" si="8"/>
        <v>45.694897505</v>
      </c>
    </row>
    <row r="33" spans="1:14" x14ac:dyDescent="0.35">
      <c r="B33" s="1">
        <f t="shared" si="9"/>
        <v>3.0888155689999999</v>
      </c>
      <c r="C33">
        <v>15.3581044</v>
      </c>
      <c r="D33" s="1">
        <f t="shared" si="10"/>
        <v>13.90922129</v>
      </c>
      <c r="E33">
        <v>0</v>
      </c>
      <c r="F33" s="1">
        <v>0</v>
      </c>
      <c r="G33">
        <v>2050</v>
      </c>
      <c r="H33">
        <f t="shared" si="8"/>
        <v>32.356141258999997</v>
      </c>
    </row>
    <row r="35" spans="1:14" x14ac:dyDescent="0.35">
      <c r="A35" t="s">
        <v>33</v>
      </c>
    </row>
    <row r="36" spans="1:14" x14ac:dyDescent="0.35">
      <c r="A36" t="s">
        <v>0</v>
      </c>
      <c r="B36" t="s">
        <v>7</v>
      </c>
      <c r="C36" t="s">
        <v>9</v>
      </c>
      <c r="D36" t="s">
        <v>10</v>
      </c>
      <c r="E36" t="s">
        <v>12</v>
      </c>
      <c r="F36" t="s">
        <v>14</v>
      </c>
      <c r="G36" t="s">
        <v>15</v>
      </c>
      <c r="H36" t="s">
        <v>20</v>
      </c>
      <c r="I36" t="s">
        <v>21</v>
      </c>
      <c r="J36" t="s">
        <v>22</v>
      </c>
      <c r="K36" t="s">
        <v>24</v>
      </c>
      <c r="L36" t="s">
        <v>25</v>
      </c>
      <c r="N36" t="s">
        <v>28</v>
      </c>
    </row>
    <row r="37" spans="1:14" x14ac:dyDescent="0.35">
      <c r="A37" t="s">
        <v>1</v>
      </c>
      <c r="B37">
        <v>1.2682253480000001</v>
      </c>
      <c r="C37">
        <v>2.3284119579999998</v>
      </c>
      <c r="D37">
        <v>56.824986289999998</v>
      </c>
      <c r="E37">
        <v>40.003570799999999</v>
      </c>
      <c r="F37">
        <v>23.915580649999999</v>
      </c>
      <c r="G37">
        <v>3.1865341250000001</v>
      </c>
      <c r="H37">
        <v>3.3844764280000001</v>
      </c>
      <c r="I37">
        <v>14.70981495</v>
      </c>
      <c r="J37">
        <v>14.29033167</v>
      </c>
      <c r="K37">
        <v>3.3975316690000001</v>
      </c>
      <c r="L37">
        <v>7.752645255</v>
      </c>
      <c r="M37">
        <v>2025</v>
      </c>
      <c r="N37">
        <f>SUM(B37:L37)</f>
        <v>171.06210914299999</v>
      </c>
    </row>
    <row r="38" spans="1:14" x14ac:dyDescent="0.35">
      <c r="A38" t="s">
        <v>2</v>
      </c>
      <c r="B38">
        <v>0.89452598299999997</v>
      </c>
      <c r="C38">
        <v>1.829940227</v>
      </c>
      <c r="D38">
        <v>48.53160991</v>
      </c>
      <c r="E38">
        <v>33.924063699999998</v>
      </c>
      <c r="F38">
        <v>20.331528939999998</v>
      </c>
      <c r="G38">
        <v>2.708554006</v>
      </c>
      <c r="H38">
        <v>2.8344787600000001</v>
      </c>
      <c r="I38">
        <v>13.90922129</v>
      </c>
      <c r="J38">
        <v>11.3100521</v>
      </c>
      <c r="K38">
        <v>3.0888155689999999</v>
      </c>
      <c r="L38">
        <v>5.5148373130000001</v>
      </c>
      <c r="M38">
        <v>2030</v>
      </c>
      <c r="N38">
        <f>SUM(B38:L38)</f>
        <v>144.87762779799996</v>
      </c>
    </row>
    <row r="39" spans="1:14" x14ac:dyDescent="0.35">
      <c r="A39" t="s">
        <v>3</v>
      </c>
      <c r="B39">
        <v>0.74543831900000002</v>
      </c>
      <c r="C39">
        <v>1.3314684969999999</v>
      </c>
      <c r="D39">
        <v>40.238233540000003</v>
      </c>
      <c r="E39">
        <v>27.563301760000002</v>
      </c>
      <c r="F39">
        <v>16.747477230000001</v>
      </c>
      <c r="G39">
        <v>2.2305738879999999</v>
      </c>
      <c r="H39">
        <v>2.3835389569999998</v>
      </c>
      <c r="I39" s="1">
        <f>I38</f>
        <v>13.90922129</v>
      </c>
      <c r="J39">
        <v>9.3307929789999999</v>
      </c>
      <c r="K39" s="1">
        <f>K38</f>
        <v>3.0888155689999999</v>
      </c>
      <c r="L39">
        <v>4.5497407829999998</v>
      </c>
      <c r="M39">
        <v>2035</v>
      </c>
      <c r="N39">
        <f>SUM(B39:L39)</f>
        <v>122.11860281200001</v>
      </c>
    </row>
    <row r="40" spans="1:14" x14ac:dyDescent="0.35">
      <c r="A40" t="s">
        <v>4</v>
      </c>
      <c r="B40">
        <v>0.59635065499999995</v>
      </c>
      <c r="C40">
        <v>1.0490357850000001</v>
      </c>
      <c r="D40">
        <v>31.944857160000002</v>
      </c>
      <c r="E40">
        <v>21.202539810000001</v>
      </c>
      <c r="F40">
        <v>13.16342551</v>
      </c>
      <c r="G40">
        <v>1.752593769</v>
      </c>
      <c r="H40">
        <v>1.9325991549999999</v>
      </c>
      <c r="I40" s="1">
        <f t="shared" ref="I40:I42" si="11">I39</f>
        <v>13.90922129</v>
      </c>
      <c r="J40">
        <v>7.3515338620000001</v>
      </c>
      <c r="K40" s="1">
        <f t="shared" ref="K40:K42" si="12">K39</f>
        <v>3.0888155689999999</v>
      </c>
      <c r="L40">
        <v>3.584644253</v>
      </c>
      <c r="M40">
        <v>2040</v>
      </c>
      <c r="N40">
        <f>SUM(B40:L40)</f>
        <v>99.575616818</v>
      </c>
    </row>
    <row r="41" spans="1:14" x14ac:dyDescent="0.35">
      <c r="A41" t="s">
        <v>5</v>
      </c>
      <c r="B41">
        <v>0.447262991</v>
      </c>
      <c r="C41">
        <v>0.76660307400000005</v>
      </c>
      <c r="D41">
        <v>23.65148078</v>
      </c>
      <c r="E41">
        <v>14.84177787</v>
      </c>
      <c r="F41">
        <v>9.5793738000000008</v>
      </c>
      <c r="G41">
        <v>1.27461365</v>
      </c>
      <c r="H41">
        <v>1.4816593520000001</v>
      </c>
      <c r="I41" s="1">
        <f t="shared" si="11"/>
        <v>13.90922129</v>
      </c>
      <c r="J41">
        <v>5.3722747460000004</v>
      </c>
      <c r="K41" s="1">
        <f t="shared" si="12"/>
        <v>3.0888155689999999</v>
      </c>
      <c r="L41">
        <v>2.6195477239999998</v>
      </c>
      <c r="M41">
        <v>2045</v>
      </c>
      <c r="N41">
        <f>SUM(B41:L41)</f>
        <v>77.032630846000004</v>
      </c>
    </row>
    <row r="42" spans="1:14" x14ac:dyDescent="0.35">
      <c r="A42" t="s">
        <v>6</v>
      </c>
      <c r="B42">
        <v>0.29817532800000002</v>
      </c>
      <c r="C42">
        <v>0.48417036200000002</v>
      </c>
      <c r="D42">
        <v>15.3581044</v>
      </c>
      <c r="E42">
        <v>8.4810159259999995</v>
      </c>
      <c r="F42">
        <v>5.9953220869999999</v>
      </c>
      <c r="G42">
        <v>0.79663353100000001</v>
      </c>
      <c r="H42">
        <v>1.0307195490000001</v>
      </c>
      <c r="I42" s="1">
        <f t="shared" si="11"/>
        <v>13.90922129</v>
      </c>
      <c r="J42">
        <v>3.3930156290000002</v>
      </c>
      <c r="K42" s="1">
        <f t="shared" si="12"/>
        <v>3.0888155689999999</v>
      </c>
      <c r="L42">
        <v>1.654451194</v>
      </c>
      <c r="M42">
        <v>2050</v>
      </c>
      <c r="N42">
        <f>SUM(B42:L42)</f>
        <v>54.489644864999988</v>
      </c>
    </row>
    <row r="44" spans="1:14" x14ac:dyDescent="0.35">
      <c r="A44" t="s">
        <v>34</v>
      </c>
    </row>
    <row r="45" spans="1:14" x14ac:dyDescent="0.35">
      <c r="A45" t="s">
        <v>0</v>
      </c>
      <c r="B45" t="s">
        <v>8</v>
      </c>
      <c r="C45" t="s">
        <v>16</v>
      </c>
      <c r="D45" t="s">
        <v>23</v>
      </c>
      <c r="F45" t="s">
        <v>28</v>
      </c>
    </row>
    <row r="46" spans="1:14" x14ac:dyDescent="0.35">
      <c r="A46" t="s">
        <v>1</v>
      </c>
      <c r="B46">
        <v>23.294622539999999</v>
      </c>
      <c r="C46">
        <v>25.226899329999998</v>
      </c>
      <c r="D46">
        <v>43.097885550000001</v>
      </c>
      <c r="E46">
        <v>2025</v>
      </c>
      <c r="F46">
        <f>SUM(B46:D46)</f>
        <v>91.619407420000002</v>
      </c>
    </row>
    <row r="47" spans="1:14" x14ac:dyDescent="0.35">
      <c r="A47" t="s">
        <v>2</v>
      </c>
      <c r="B47">
        <v>17.470966910000001</v>
      </c>
      <c r="C47" s="1">
        <f>4/5*C46</f>
        <v>20.181519464000001</v>
      </c>
      <c r="D47">
        <v>33.043229650000001</v>
      </c>
      <c r="E47">
        <v>2030</v>
      </c>
      <c r="F47">
        <f>SUM(B47:D47)</f>
        <v>70.695716024000006</v>
      </c>
    </row>
    <row r="48" spans="1:14" x14ac:dyDescent="0.35">
      <c r="A48" t="s">
        <v>3</v>
      </c>
      <c r="B48">
        <v>11.647311269999999</v>
      </c>
      <c r="C48" s="1">
        <f>3/5*C46</f>
        <v>15.136139597999998</v>
      </c>
      <c r="D48">
        <v>24.782422239999999</v>
      </c>
      <c r="E48">
        <v>2035</v>
      </c>
      <c r="F48">
        <f>SUM(B48:D48)</f>
        <v>51.565873107999991</v>
      </c>
    </row>
    <row r="49" spans="1:11" x14ac:dyDescent="0.35">
      <c r="A49" t="s">
        <v>4</v>
      </c>
      <c r="B49">
        <v>5.8236556359999998</v>
      </c>
      <c r="C49" s="1">
        <f>2/5*C46</f>
        <v>10.090759732</v>
      </c>
      <c r="D49">
        <v>16.52161482</v>
      </c>
      <c r="E49">
        <v>2040</v>
      </c>
      <c r="F49">
        <f>SUM(B49:D49)</f>
        <v>32.436030188000004</v>
      </c>
    </row>
    <row r="50" spans="1:11" x14ac:dyDescent="0.35">
      <c r="A50" t="s">
        <v>5</v>
      </c>
      <c r="B50">
        <v>0</v>
      </c>
      <c r="C50" s="1">
        <f>C46/5</f>
        <v>5.0453798659999993</v>
      </c>
      <c r="D50">
        <v>8.2608074120000001</v>
      </c>
      <c r="E50">
        <v>2045</v>
      </c>
      <c r="F50">
        <f>SUM(B50:D50)</f>
        <v>13.306187277999999</v>
      </c>
    </row>
    <row r="51" spans="1:11" x14ac:dyDescent="0.35">
      <c r="A51" t="s">
        <v>6</v>
      </c>
      <c r="B51">
        <v>0</v>
      </c>
      <c r="C51" s="1">
        <v>0</v>
      </c>
      <c r="D51">
        <v>0</v>
      </c>
      <c r="E51">
        <v>2050</v>
      </c>
      <c r="F51">
        <f>SUM(B51:D51)</f>
        <v>0</v>
      </c>
    </row>
    <row r="53" spans="1:11" x14ac:dyDescent="0.35">
      <c r="A53" t="s">
        <v>35</v>
      </c>
    </row>
    <row r="54" spans="1:11" x14ac:dyDescent="0.35">
      <c r="A54" t="s">
        <v>0</v>
      </c>
      <c r="C54" t="s">
        <v>11</v>
      </c>
      <c r="D54" t="s">
        <v>13</v>
      </c>
      <c r="E54" t="s">
        <v>17</v>
      </c>
      <c r="F54" t="s">
        <v>18</v>
      </c>
      <c r="G54" t="s">
        <v>19</v>
      </c>
      <c r="H54" t="s">
        <v>26</v>
      </c>
      <c r="I54" t="s">
        <v>27</v>
      </c>
      <c r="K54" t="s">
        <v>28</v>
      </c>
    </row>
    <row r="55" spans="1:11" x14ac:dyDescent="0.35">
      <c r="A55" t="s">
        <v>1</v>
      </c>
      <c r="B55">
        <v>16.85139779</v>
      </c>
      <c r="C55">
        <v>9.1480616989999994</v>
      </c>
      <c r="D55">
        <v>11.13592036</v>
      </c>
      <c r="E55">
        <v>7.3375898069999996</v>
      </c>
      <c r="F55">
        <v>19.435872100000001</v>
      </c>
      <c r="G55">
        <v>38.36983206</v>
      </c>
      <c r="H55">
        <v>19.03624203</v>
      </c>
      <c r="I55">
        <v>78.309267219999995</v>
      </c>
      <c r="J55">
        <v>2025</v>
      </c>
      <c r="K55">
        <f>SUM(B55:I55)</f>
        <v>199.624183066</v>
      </c>
    </row>
    <row r="56" spans="1:11" x14ac:dyDescent="0.35">
      <c r="A56" t="s">
        <v>2</v>
      </c>
      <c r="B56">
        <v>10.747482209999999</v>
      </c>
      <c r="C56">
        <v>6.8854382879999996</v>
      </c>
      <c r="D56">
        <v>8.9240004339999999</v>
      </c>
      <c r="E56">
        <v>5.870071845</v>
      </c>
      <c r="F56">
        <v>16.659318939999999</v>
      </c>
      <c r="G56">
        <v>30.695865649999998</v>
      </c>
      <c r="H56">
        <v>13.05593498</v>
      </c>
      <c r="I56">
        <v>58.937341719999999</v>
      </c>
      <c r="J56">
        <v>2030</v>
      </c>
      <c r="K56">
        <f t="shared" ref="K56:K60" si="13">SUM(B56:I56)</f>
        <v>151.775454067</v>
      </c>
    </row>
    <row r="57" spans="1:11" x14ac:dyDescent="0.35">
      <c r="A57" t="s">
        <v>3</v>
      </c>
      <c r="B57">
        <v>8.3048726169999991</v>
      </c>
      <c r="C57">
        <v>4.6228148779999998</v>
      </c>
      <c r="D57" s="1">
        <f>D56</f>
        <v>8.9240004339999999</v>
      </c>
      <c r="E57">
        <v>4.4025538839999996</v>
      </c>
      <c r="F57">
        <v>13.88276578</v>
      </c>
      <c r="G57">
        <v>23.02189924</v>
      </c>
      <c r="H57">
        <v>10.444747980000001</v>
      </c>
      <c r="I57">
        <v>44.203006289999998</v>
      </c>
      <c r="J57">
        <v>2035</v>
      </c>
      <c r="K57">
        <f t="shared" si="13"/>
        <v>117.80666110300001</v>
      </c>
    </row>
    <row r="58" spans="1:11" x14ac:dyDescent="0.35">
      <c r="A58" t="s">
        <v>4</v>
      </c>
      <c r="B58">
        <v>5.8622630239999998</v>
      </c>
      <c r="C58">
        <v>3.7823030819999999</v>
      </c>
      <c r="D58" s="1">
        <f t="shared" ref="D58:D60" si="14">D57</f>
        <v>8.9240004339999999</v>
      </c>
      <c r="E58">
        <v>2.935035923</v>
      </c>
      <c r="F58">
        <v>11.10621263</v>
      </c>
      <c r="G58">
        <v>15.34793282</v>
      </c>
      <c r="H58">
        <v>7.8335609870000003</v>
      </c>
      <c r="I58">
        <v>29.46867086</v>
      </c>
      <c r="J58">
        <v>2040</v>
      </c>
      <c r="K58">
        <f t="shared" si="13"/>
        <v>85.259979760000007</v>
      </c>
    </row>
    <row r="59" spans="1:11" x14ac:dyDescent="0.35">
      <c r="A59" t="s">
        <v>5</v>
      </c>
      <c r="B59">
        <v>3.4196534299999999</v>
      </c>
      <c r="C59">
        <v>2.9417912859999999</v>
      </c>
      <c r="D59" s="1">
        <f t="shared" si="14"/>
        <v>8.9240004339999999</v>
      </c>
      <c r="E59">
        <v>1.467517961</v>
      </c>
      <c r="F59">
        <v>8.3296594699999993</v>
      </c>
      <c r="G59">
        <v>7.6739664120000004</v>
      </c>
      <c r="H59">
        <v>5.2223739910000004</v>
      </c>
      <c r="I59">
        <v>14.73433543</v>
      </c>
      <c r="J59">
        <v>2045</v>
      </c>
      <c r="K59">
        <f t="shared" si="13"/>
        <v>52.713298414</v>
      </c>
    </row>
    <row r="60" spans="1:11" x14ac:dyDescent="0.35">
      <c r="A60" t="s">
        <v>6</v>
      </c>
      <c r="B60">
        <v>0.97704383699999997</v>
      </c>
      <c r="C60">
        <v>2.10127949</v>
      </c>
      <c r="D60" s="1">
        <f t="shared" si="14"/>
        <v>8.9240004339999999</v>
      </c>
      <c r="E60">
        <v>0</v>
      </c>
      <c r="F60">
        <v>5.5531063129999998</v>
      </c>
      <c r="G60">
        <v>0</v>
      </c>
      <c r="H60">
        <v>2.6111869959999998</v>
      </c>
      <c r="I60">
        <v>0</v>
      </c>
      <c r="J60">
        <v>2050</v>
      </c>
      <c r="K60">
        <f t="shared" si="13"/>
        <v>20.166617070000001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2023-01-30T10:47:07Z</dcterms:created>
  <dcterms:modified xsi:type="dcterms:W3CDTF">2023-02-08T03:52:38Z</dcterms:modified>
</cp:coreProperties>
</file>