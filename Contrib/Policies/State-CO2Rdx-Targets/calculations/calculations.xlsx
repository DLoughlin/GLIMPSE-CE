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GLIMPSE\Contrib\Policies\State-CO2Rdx-Targets\calculations\"/>
    </mc:Choice>
  </mc:AlternateContent>
  <xr:revisionPtr revIDLastSave="0" documentId="13_ncr:1_{4CB7CD22-E81D-4333-815F-F00D6D461888}" xr6:coauthVersionLast="47" xr6:coauthVersionMax="47" xr10:uidLastSave="{00000000-0000-0000-0000-000000000000}"/>
  <bookViews>
    <workbookView xWindow="800" yWindow="1240" windowWidth="26650" windowHeight="17420" activeTab="1" xr2:uid="{D596FE70-6872-4451-9059-90CC4719C41D}"/>
  </bookViews>
  <sheets>
    <sheet name="Old" sheetId="1" r:id="rId1"/>
    <sheet name="Regional" sheetId="2" r:id="rId2"/>
    <sheet name="RPO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3" l="1"/>
  <c r="H21" i="3"/>
  <c r="I40" i="3"/>
  <c r="F31" i="3"/>
  <c r="P30" i="3"/>
  <c r="O30" i="3"/>
  <c r="N30" i="3"/>
  <c r="M30" i="3"/>
  <c r="P29" i="3"/>
  <c r="O29" i="3"/>
  <c r="N29" i="3"/>
  <c r="M29" i="3"/>
  <c r="P28" i="3"/>
  <c r="O28" i="3"/>
  <c r="N28" i="3"/>
  <c r="M28" i="3"/>
  <c r="P27" i="3"/>
  <c r="O27" i="3"/>
  <c r="N27" i="3"/>
  <c r="M27" i="3"/>
  <c r="P26" i="3"/>
  <c r="O26" i="3"/>
  <c r="N26" i="3"/>
  <c r="M26" i="3"/>
  <c r="O25" i="3"/>
  <c r="P25" i="3"/>
  <c r="H26" i="3"/>
  <c r="H25" i="3"/>
  <c r="H24" i="3"/>
  <c r="H23" i="3"/>
  <c r="H22" i="3"/>
  <c r="P42" i="2"/>
  <c r="P41" i="2"/>
  <c r="P40" i="2"/>
  <c r="P39" i="2"/>
  <c r="P38" i="2"/>
  <c r="P37" i="2"/>
  <c r="O42" i="2"/>
  <c r="O41" i="2"/>
  <c r="O40" i="2"/>
  <c r="O39" i="2"/>
  <c r="O38" i="2"/>
  <c r="O37" i="2"/>
  <c r="N42" i="2"/>
  <c r="N41" i="2"/>
  <c r="N40" i="2"/>
  <c r="N39" i="2"/>
  <c r="N38" i="2"/>
  <c r="N37" i="2"/>
  <c r="M42" i="2"/>
  <c r="M41" i="2"/>
  <c r="M40" i="2"/>
  <c r="M39" i="2"/>
  <c r="M38" i="2"/>
  <c r="M37" i="2"/>
  <c r="G45" i="3"/>
  <c r="F45" i="3"/>
  <c r="D45" i="3"/>
  <c r="C45" i="3"/>
  <c r="B45" i="3"/>
  <c r="G44" i="3"/>
  <c r="F44" i="3"/>
  <c r="D44" i="3"/>
  <c r="C44" i="3"/>
  <c r="B44" i="3"/>
  <c r="G43" i="3"/>
  <c r="F43" i="3"/>
  <c r="D43" i="3"/>
  <c r="C43" i="3"/>
  <c r="B43" i="3"/>
  <c r="G42" i="3"/>
  <c r="F42" i="3"/>
  <c r="D42" i="3"/>
  <c r="C42" i="3"/>
  <c r="B42" i="3"/>
  <c r="H41" i="3"/>
  <c r="H42" i="3" s="1"/>
  <c r="H43" i="3" s="1"/>
  <c r="H44" i="3" s="1"/>
  <c r="H45" i="3" s="1"/>
  <c r="G41" i="3"/>
  <c r="F41" i="3"/>
  <c r="E41" i="3"/>
  <c r="D41" i="3"/>
  <c r="C41" i="3"/>
  <c r="B41" i="3"/>
  <c r="G40" i="3"/>
  <c r="F40" i="3"/>
  <c r="E40" i="3"/>
  <c r="D40" i="3"/>
  <c r="C40" i="3"/>
  <c r="B40" i="3"/>
  <c r="D36" i="3"/>
  <c r="F36" i="3" s="1"/>
  <c r="C36" i="3"/>
  <c r="B36" i="3"/>
  <c r="D35" i="3"/>
  <c r="C35" i="3"/>
  <c r="B35" i="3"/>
  <c r="F35" i="3" s="1"/>
  <c r="D34" i="3"/>
  <c r="C34" i="3"/>
  <c r="B34" i="3"/>
  <c r="D33" i="3"/>
  <c r="C33" i="3"/>
  <c r="B33" i="3"/>
  <c r="F33" i="3" s="1"/>
  <c r="E32" i="3"/>
  <c r="E33" i="3" s="1"/>
  <c r="E34" i="3" s="1"/>
  <c r="E35" i="3" s="1"/>
  <c r="E36" i="3" s="1"/>
  <c r="D32" i="3"/>
  <c r="C32" i="3"/>
  <c r="B32" i="3"/>
  <c r="D31" i="3"/>
  <c r="C31" i="3"/>
  <c r="B31" i="3"/>
  <c r="D26" i="3"/>
  <c r="C26" i="3"/>
  <c r="B26" i="3"/>
  <c r="C25" i="3"/>
  <c r="B25" i="3"/>
  <c r="C24" i="3"/>
  <c r="B24" i="3"/>
  <c r="C23" i="3"/>
  <c r="B23" i="3"/>
  <c r="G22" i="3"/>
  <c r="G23" i="3" s="1"/>
  <c r="G24" i="3" s="1"/>
  <c r="G25" i="3" s="1"/>
  <c r="G26" i="3" s="1"/>
  <c r="E22" i="3"/>
  <c r="C22" i="3"/>
  <c r="B22" i="3"/>
  <c r="E21" i="3"/>
  <c r="D21" i="3"/>
  <c r="C21" i="3"/>
  <c r="B21" i="3"/>
  <c r="H17" i="3"/>
  <c r="G17" i="3"/>
  <c r="F26" i="3"/>
  <c r="F17" i="3"/>
  <c r="E17" i="3"/>
  <c r="D17" i="3"/>
  <c r="C17" i="3"/>
  <c r="B17" i="3"/>
  <c r="H16" i="3"/>
  <c r="G16" i="3"/>
  <c r="F25" i="3"/>
  <c r="F16" i="3"/>
  <c r="E16" i="3"/>
  <c r="D16" i="3"/>
  <c r="C16" i="3"/>
  <c r="B16" i="3"/>
  <c r="H15" i="3"/>
  <c r="G15" i="3"/>
  <c r="F24" i="3"/>
  <c r="F15" i="3"/>
  <c r="E15" i="3"/>
  <c r="D15" i="3"/>
  <c r="C15" i="3"/>
  <c r="B15" i="3"/>
  <c r="H14" i="3"/>
  <c r="G14" i="3"/>
  <c r="F23" i="3"/>
  <c r="F14" i="3"/>
  <c r="E14" i="3"/>
  <c r="D14" i="3"/>
  <c r="C14" i="3"/>
  <c r="B14" i="3"/>
  <c r="I13" i="3"/>
  <c r="I14" i="3" s="1"/>
  <c r="I15" i="3" s="1"/>
  <c r="I16" i="3" s="1"/>
  <c r="I17" i="3" s="1"/>
  <c r="H13" i="3"/>
  <c r="G13" i="3"/>
  <c r="F22" i="3"/>
  <c r="F13" i="3"/>
  <c r="E13" i="3"/>
  <c r="D13" i="3"/>
  <c r="C13" i="3"/>
  <c r="B13" i="3"/>
  <c r="H12" i="3"/>
  <c r="G12" i="3"/>
  <c r="F21" i="3"/>
  <c r="F12" i="3"/>
  <c r="E12" i="3"/>
  <c r="D12" i="3"/>
  <c r="C12" i="3"/>
  <c r="B12" i="3"/>
  <c r="K6" i="3"/>
  <c r="D25" i="3" s="1"/>
  <c r="K5" i="3"/>
  <c r="D24" i="3" s="1"/>
  <c r="S4" i="3"/>
  <c r="S5" i="3" s="1"/>
  <c r="K4" i="3"/>
  <c r="D23" i="3" s="1"/>
  <c r="I4" i="3"/>
  <c r="E42" i="3" s="1"/>
  <c r="K3" i="3"/>
  <c r="X3" i="3" s="1"/>
  <c r="X2" i="3"/>
  <c r="X3" i="2"/>
  <c r="X2" i="2"/>
  <c r="O30" i="2"/>
  <c r="O29" i="2"/>
  <c r="O28" i="2"/>
  <c r="O27" i="2"/>
  <c r="O26" i="2"/>
  <c r="O25" i="2"/>
  <c r="N30" i="2"/>
  <c r="M30" i="2"/>
  <c r="N29" i="2"/>
  <c r="M29" i="2"/>
  <c r="N28" i="2"/>
  <c r="M28" i="2"/>
  <c r="N27" i="2"/>
  <c r="M27" i="2"/>
  <c r="N26" i="2"/>
  <c r="M26" i="2"/>
  <c r="M25" i="2"/>
  <c r="N25" i="2"/>
  <c r="K17" i="2"/>
  <c r="I45" i="2"/>
  <c r="I44" i="2"/>
  <c r="I43" i="2"/>
  <c r="I42" i="2"/>
  <c r="I41" i="2"/>
  <c r="I40" i="2"/>
  <c r="G45" i="2"/>
  <c r="G44" i="2"/>
  <c r="G43" i="2"/>
  <c r="G42" i="2"/>
  <c r="G41" i="2"/>
  <c r="G40" i="2"/>
  <c r="H41" i="2"/>
  <c r="H42" i="2" s="1"/>
  <c r="H43" i="2" s="1"/>
  <c r="H44" i="2" s="1"/>
  <c r="H45" i="2" s="1"/>
  <c r="E32" i="2"/>
  <c r="E33" i="2" s="1"/>
  <c r="E34" i="2" s="1"/>
  <c r="E35" i="2" s="1"/>
  <c r="E36" i="2" s="1"/>
  <c r="F23" i="2"/>
  <c r="F24" i="2" s="1"/>
  <c r="F25" i="2" s="1"/>
  <c r="F26" i="2" s="1"/>
  <c r="F22" i="2"/>
  <c r="G26" i="2"/>
  <c r="G17" i="2"/>
  <c r="E26" i="2"/>
  <c r="D26" i="2"/>
  <c r="C26" i="2"/>
  <c r="B26" i="2"/>
  <c r="F45" i="2"/>
  <c r="E45" i="2"/>
  <c r="D45" i="2"/>
  <c r="C45" i="2"/>
  <c r="B45" i="2"/>
  <c r="F44" i="2"/>
  <c r="E44" i="2"/>
  <c r="D44" i="2"/>
  <c r="C44" i="2"/>
  <c r="B44" i="2"/>
  <c r="F43" i="2"/>
  <c r="E43" i="2"/>
  <c r="D43" i="2"/>
  <c r="C43" i="2"/>
  <c r="B43" i="2"/>
  <c r="F42" i="2"/>
  <c r="E42" i="2"/>
  <c r="D42" i="2"/>
  <c r="C42" i="2"/>
  <c r="B42" i="2"/>
  <c r="F41" i="2"/>
  <c r="E41" i="2"/>
  <c r="D41" i="2"/>
  <c r="C41" i="2"/>
  <c r="B41" i="2"/>
  <c r="F40" i="2"/>
  <c r="E40" i="2"/>
  <c r="D40" i="2"/>
  <c r="C40" i="2"/>
  <c r="B40" i="2"/>
  <c r="F36" i="2"/>
  <c r="F35" i="2"/>
  <c r="F34" i="2"/>
  <c r="F33" i="2"/>
  <c r="F32" i="2"/>
  <c r="F31" i="2"/>
  <c r="D36" i="2"/>
  <c r="C36" i="2"/>
  <c r="B36" i="2"/>
  <c r="D35" i="2"/>
  <c r="C35" i="2"/>
  <c r="B35" i="2"/>
  <c r="D34" i="2"/>
  <c r="C34" i="2"/>
  <c r="B34" i="2"/>
  <c r="D33" i="2"/>
  <c r="C33" i="2"/>
  <c r="B33" i="2"/>
  <c r="D32" i="2"/>
  <c r="C32" i="2"/>
  <c r="B32" i="2"/>
  <c r="D31" i="2"/>
  <c r="C31" i="2"/>
  <c r="B31" i="2"/>
  <c r="G25" i="2"/>
  <c r="G24" i="2"/>
  <c r="G23" i="2"/>
  <c r="G22" i="2"/>
  <c r="G21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K16" i="2"/>
  <c r="K15" i="2"/>
  <c r="K14" i="2"/>
  <c r="J14" i="2"/>
  <c r="J15" i="2" s="1"/>
  <c r="J16" i="2" s="1"/>
  <c r="J17" i="2" s="1"/>
  <c r="K13" i="2"/>
  <c r="J13" i="2"/>
  <c r="K12" i="2"/>
  <c r="I17" i="2"/>
  <c r="H17" i="2"/>
  <c r="F17" i="2"/>
  <c r="E17" i="2"/>
  <c r="D17" i="2"/>
  <c r="C17" i="2"/>
  <c r="B17" i="2"/>
  <c r="I16" i="2"/>
  <c r="H16" i="2"/>
  <c r="G16" i="2"/>
  <c r="F16" i="2"/>
  <c r="E16" i="2"/>
  <c r="D16" i="2"/>
  <c r="C16" i="2"/>
  <c r="B16" i="2"/>
  <c r="I15" i="2"/>
  <c r="H15" i="2"/>
  <c r="G15" i="2"/>
  <c r="F15" i="2"/>
  <c r="E15" i="2"/>
  <c r="D15" i="2"/>
  <c r="C15" i="2"/>
  <c r="B15" i="2"/>
  <c r="I14" i="2"/>
  <c r="H14" i="2"/>
  <c r="G14" i="2"/>
  <c r="F14" i="2"/>
  <c r="E14" i="2"/>
  <c r="D14" i="2"/>
  <c r="C14" i="2"/>
  <c r="B14" i="2"/>
  <c r="I13" i="2"/>
  <c r="H13" i="2"/>
  <c r="G13" i="2"/>
  <c r="F13" i="2"/>
  <c r="E13" i="2"/>
  <c r="D13" i="2"/>
  <c r="C13" i="2"/>
  <c r="B13" i="2"/>
  <c r="I12" i="2"/>
  <c r="H12" i="2"/>
  <c r="G12" i="2"/>
  <c r="F12" i="2"/>
  <c r="E12" i="2"/>
  <c r="D12" i="2"/>
  <c r="C12" i="2"/>
  <c r="B12" i="2"/>
  <c r="K6" i="2"/>
  <c r="K5" i="2"/>
  <c r="S4" i="2"/>
  <c r="S5" i="2" s="1"/>
  <c r="S6" i="2" s="1"/>
  <c r="S7" i="2" s="1"/>
  <c r="K4" i="2"/>
  <c r="I4" i="2"/>
  <c r="I5" i="2" s="1"/>
  <c r="I6" i="2" s="1"/>
  <c r="K3" i="2"/>
  <c r="U11" i="1"/>
  <c r="T11" i="1"/>
  <c r="E16" i="1"/>
  <c r="D16" i="1"/>
  <c r="E15" i="1"/>
  <c r="D15" i="1"/>
  <c r="E14" i="1"/>
  <c r="D14" i="1"/>
  <c r="E13" i="1"/>
  <c r="D13" i="1"/>
  <c r="E12" i="1"/>
  <c r="D12" i="1"/>
  <c r="E11" i="1"/>
  <c r="D11" i="1"/>
  <c r="B16" i="1"/>
  <c r="B15" i="1"/>
  <c r="B14" i="1"/>
  <c r="B13" i="1"/>
  <c r="B12" i="1"/>
  <c r="B11" i="1"/>
  <c r="E23" i="3" l="1"/>
  <c r="I5" i="3"/>
  <c r="I6" i="3" s="1"/>
  <c r="D22" i="3"/>
  <c r="I42" i="3"/>
  <c r="M25" i="3"/>
  <c r="J13" i="3"/>
  <c r="F32" i="3"/>
  <c r="F34" i="3"/>
  <c r="I41" i="3"/>
  <c r="J14" i="3"/>
  <c r="J15" i="3"/>
  <c r="J16" i="3"/>
  <c r="J17" i="3"/>
  <c r="N25" i="3"/>
  <c r="E24" i="3"/>
  <c r="S6" i="3"/>
  <c r="X5" i="3"/>
  <c r="X4" i="3"/>
  <c r="I7" i="2"/>
  <c r="X7" i="2" s="1"/>
  <c r="X6" i="2"/>
  <c r="X4" i="2"/>
  <c r="X5" i="2"/>
  <c r="E43" i="3" l="1"/>
  <c r="I43" i="3" s="1"/>
  <c r="S7" i="3"/>
  <c r="E26" i="3" s="1"/>
  <c r="E25" i="3"/>
  <c r="I7" i="3"/>
  <c r="E44" i="3"/>
  <c r="I44" i="3" s="1"/>
  <c r="X6" i="3"/>
  <c r="V16" i="1"/>
  <c r="V15" i="1"/>
  <c r="V14" i="1"/>
  <c r="V13" i="1"/>
  <c r="V12" i="1"/>
  <c r="V11" i="1"/>
  <c r="U16" i="1"/>
  <c r="U15" i="1"/>
  <c r="U14" i="1"/>
  <c r="U13" i="1"/>
  <c r="U12" i="1"/>
  <c r="T15" i="1"/>
  <c r="T12" i="1"/>
  <c r="F46" i="1"/>
  <c r="K55" i="1"/>
  <c r="K60" i="1"/>
  <c r="K59" i="1"/>
  <c r="K58" i="1"/>
  <c r="K57" i="1"/>
  <c r="K56" i="1"/>
  <c r="D57" i="1"/>
  <c r="D58" i="1" s="1"/>
  <c r="D59" i="1" s="1"/>
  <c r="C50" i="1"/>
  <c r="C49" i="1"/>
  <c r="C48" i="1"/>
  <c r="C47" i="1"/>
  <c r="F47" i="1" s="1"/>
  <c r="N37" i="1"/>
  <c r="K39" i="1"/>
  <c r="K40" i="1" s="1"/>
  <c r="K41" i="1" s="1"/>
  <c r="K42" i="1" s="1"/>
  <c r="I39" i="1"/>
  <c r="I40" i="1" s="1"/>
  <c r="I41" i="1" s="1"/>
  <c r="I42" i="1" s="1"/>
  <c r="N38" i="1"/>
  <c r="H28" i="1"/>
  <c r="K24" i="1"/>
  <c r="T16" i="1" s="1"/>
  <c r="K23" i="1"/>
  <c r="K22" i="1"/>
  <c r="T14" i="1" s="1"/>
  <c r="K21" i="1"/>
  <c r="T13" i="1" s="1"/>
  <c r="K20" i="1"/>
  <c r="K19" i="1"/>
  <c r="I12" i="1"/>
  <c r="W12" i="1" s="1"/>
  <c r="I11" i="1"/>
  <c r="W11" i="1" s="1"/>
  <c r="Q24" i="1"/>
  <c r="Q23" i="1"/>
  <c r="Q22" i="1"/>
  <c r="Q21" i="1"/>
  <c r="Q20" i="1"/>
  <c r="Q19" i="1"/>
  <c r="F32" i="1"/>
  <c r="F31" i="1"/>
  <c r="B30" i="1"/>
  <c r="B31" i="1" s="1"/>
  <c r="B32" i="1" s="1"/>
  <c r="B33" i="1" s="1"/>
  <c r="D30" i="1"/>
  <c r="D31" i="1" s="1"/>
  <c r="D32" i="1" s="1"/>
  <c r="D33" i="1" s="1"/>
  <c r="F30" i="1"/>
  <c r="F13" i="1"/>
  <c r="F14" i="1" s="1"/>
  <c r="F15" i="1" s="1"/>
  <c r="F16" i="1" s="1"/>
  <c r="I16" i="1" s="1"/>
  <c r="W16" i="1" s="1"/>
  <c r="F29" i="1"/>
  <c r="H29" i="1" s="1"/>
  <c r="X2" i="1"/>
  <c r="L6" i="1"/>
  <c r="L5" i="1"/>
  <c r="L4" i="1"/>
  <c r="L3" i="1"/>
  <c r="X3" i="1" s="1"/>
  <c r="T4" i="1"/>
  <c r="T5" i="1" s="1"/>
  <c r="T6" i="1" s="1"/>
  <c r="T7" i="1" s="1"/>
  <c r="Q4" i="1"/>
  <c r="Q5" i="1" s="1"/>
  <c r="Q6" i="1" s="1"/>
  <c r="Q7" i="1" s="1"/>
  <c r="I4" i="1"/>
  <c r="E45" i="3" l="1"/>
  <c r="I45" i="3" s="1"/>
  <c r="X7" i="3"/>
  <c r="D60" i="1"/>
  <c r="H33" i="1"/>
  <c r="I13" i="1"/>
  <c r="W13" i="1" s="1"/>
  <c r="I14" i="1"/>
  <c r="W14" i="1" s="1"/>
  <c r="F49" i="1"/>
  <c r="F48" i="1"/>
  <c r="H30" i="1"/>
  <c r="I15" i="1"/>
  <c r="W15" i="1" s="1"/>
  <c r="H31" i="1"/>
  <c r="X4" i="1"/>
  <c r="I5" i="1"/>
  <c r="I6" i="1" s="1"/>
  <c r="I7" i="1" s="1"/>
  <c r="X7" i="1" s="1"/>
  <c r="H32" i="1"/>
  <c r="N40" i="1"/>
  <c r="N39" i="1"/>
  <c r="X6" i="1" l="1"/>
  <c r="F51" i="1"/>
  <c r="F50" i="1"/>
  <c r="X5" i="1"/>
  <c r="N42" i="1"/>
  <c r="N41" i="1"/>
</calcChain>
</file>

<file path=xl/sharedStrings.xml><?xml version="1.0" encoding="utf-8"?>
<sst xmlns="http://schemas.openxmlformats.org/spreadsheetml/2006/main" count="253" uniqueCount="45">
  <si>
    <t>#Regions: WA</t>
  </si>
  <si>
    <t xml:space="preserve">#Table data:2025 </t>
  </si>
  <si>
    <t xml:space="preserve">#Table data:2030 </t>
  </si>
  <si>
    <t xml:space="preserve">#Table data:2035 </t>
  </si>
  <si>
    <t xml:space="preserve">#Table data:2040 </t>
  </si>
  <si>
    <t xml:space="preserve">#Table data:2045 </t>
  </si>
  <si>
    <t xml:space="preserve">#Table data:2050 </t>
  </si>
  <si>
    <t>VT</t>
  </si>
  <si>
    <t>VA</t>
  </si>
  <si>
    <t>RI</t>
  </si>
  <si>
    <t>PA</t>
  </si>
  <si>
    <t>OR</t>
  </si>
  <si>
    <t>NY</t>
  </si>
  <si>
    <t>NM</t>
  </si>
  <si>
    <t>NJ</t>
  </si>
  <si>
    <t>NH</t>
  </si>
  <si>
    <t>NC</t>
  </si>
  <si>
    <t>MT</t>
  </si>
  <si>
    <t>MN</t>
  </si>
  <si>
    <t>MI</t>
  </si>
  <si>
    <t>ME</t>
  </si>
  <si>
    <t>MD</t>
  </si>
  <si>
    <t>MA</t>
  </si>
  <si>
    <t>LA</t>
  </si>
  <si>
    <t>DE</t>
  </si>
  <si>
    <t>CT</t>
  </si>
  <si>
    <t>CO</t>
  </si>
  <si>
    <t>CA</t>
  </si>
  <si>
    <t>total</t>
  </si>
  <si>
    <t>NESCAUM</t>
  </si>
  <si>
    <t>Central</t>
  </si>
  <si>
    <t>MARAMA</t>
  </si>
  <si>
    <t>WRAP</t>
  </si>
  <si>
    <t>Northeast</t>
  </si>
  <si>
    <t>Southeast</t>
  </si>
  <si>
    <t>West</t>
  </si>
  <si>
    <t>Mid-Atlantic</t>
  </si>
  <si>
    <t>Western</t>
  </si>
  <si>
    <t>Year</t>
  </si>
  <si>
    <t>Total</t>
  </si>
  <si>
    <t>South Atlantic</t>
  </si>
  <si>
    <t>WA</t>
  </si>
  <si>
    <t>New England</t>
  </si>
  <si>
    <t>LADCO+</t>
  </si>
  <si>
    <t>MARAMA-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</si>
</sst>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CO2 caps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Old!$T$10</c:f>
              <c:strCache>
                <c:ptCount val="1"/>
                <c:pt idx="0">
                  <c:v>Northeast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Old!$S$11:$S$16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Old!$T$11:$T$16</c:f>
              <c:numCache>
                <c:formatCode>General</c:formatCode>
                <c:ptCount val="6"/>
                <c:pt idx="0">
                  <c:v>92.943242108999996</c:v>
                </c:pt>
                <c:pt idx="1">
                  <c:v>76.639427022999996</c:v>
                </c:pt>
                <c:pt idx="2">
                  <c:v>62.651758525000005</c:v>
                </c:pt>
                <c:pt idx="3">
                  <c:v>48.880129030000006</c:v>
                </c:pt>
                <c:pt idx="4">
                  <c:v>35.108499557000002</c:v>
                </c:pt>
                <c:pt idx="5">
                  <c:v>21.336870075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C3-4D23-B796-5A5C3F5956E2}"/>
            </c:ext>
          </c:extLst>
        </c:ser>
        <c:ser>
          <c:idx val="1"/>
          <c:order val="1"/>
          <c:tx>
            <c:strRef>
              <c:f>Old!$U$10</c:f>
              <c:strCache>
                <c:ptCount val="1"/>
                <c:pt idx="0">
                  <c:v>Mid-Atlantic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Old!$S$11:$S$16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Old!$U$11:$U$16</c:f>
              <c:numCache>
                <c:formatCode>General</c:formatCode>
                <c:ptCount val="6"/>
                <c:pt idx="0">
                  <c:v>123.453854779</c:v>
                </c:pt>
                <c:pt idx="1">
                  <c:v>103.182133143</c:v>
                </c:pt>
                <c:pt idx="2">
                  <c:v>84.019721266999994</c:v>
                </c:pt>
                <c:pt idx="3">
                  <c:v>64.857309387000001</c:v>
                </c:pt>
                <c:pt idx="4">
                  <c:v>45.694897505</c:v>
                </c:pt>
                <c:pt idx="5">
                  <c:v>32.356141258999997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C3-4D23-B796-5A5C3F5956E2}"/>
            </c:ext>
          </c:extLst>
        </c:ser>
        <c:ser>
          <c:idx val="2"/>
          <c:order val="2"/>
          <c:tx>
            <c:strRef>
              <c:f>Old!$V$10</c:f>
              <c:strCache>
                <c:ptCount val="1"/>
                <c:pt idx="0">
                  <c:v>Central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Old!$S$11:$S$16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Old!$V$11:$V$16</c:f>
              <c:numCache>
                <c:formatCode>General</c:formatCode>
                <c:ptCount val="6"/>
                <c:pt idx="0">
                  <c:v>100.90358971000001</c:v>
                </c:pt>
                <c:pt idx="1">
                  <c:v>80.398414239999994</c:v>
                </c:pt>
                <c:pt idx="2">
                  <c:v>61.687087259999998</c:v>
                </c:pt>
                <c:pt idx="3">
                  <c:v>42.975760269999995</c:v>
                </c:pt>
                <c:pt idx="4">
                  <c:v>24.264433294</c:v>
                </c:pt>
                <c:pt idx="5">
                  <c:v>5.5531063129999998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C3-4D23-B796-5A5C3F5956E2}"/>
            </c:ext>
          </c:extLst>
        </c:ser>
        <c:ser>
          <c:idx val="3"/>
          <c:order val="3"/>
          <c:tx>
            <c:strRef>
              <c:f>Old!$W$10</c:f>
              <c:strCache>
                <c:ptCount val="1"/>
                <c:pt idx="0">
                  <c:v>Western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Old!$S$11:$S$16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Old!$W$11:$W$16</c:f>
              <c:numCache>
                <c:formatCode>General</c:formatCode>
                <c:ptCount val="6"/>
                <c:pt idx="0">
                  <c:v>141.81847890330485</c:v>
                </c:pt>
                <c:pt idx="1">
                  <c:v>104.42026947401153</c:v>
                </c:pt>
                <c:pt idx="2">
                  <c:v>75.990550937237359</c:v>
                </c:pt>
                <c:pt idx="3">
                  <c:v>48.842858722741852</c:v>
                </c:pt>
                <c:pt idx="4">
                  <c:v>21.695166503246352</c:v>
                </c:pt>
                <c:pt idx="5">
                  <c:v>14.193254858945064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C3-4D23-B796-5A5C3F595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3546112"/>
        <c:axId val="1003546768"/>
      </c:lineChart>
      <c:catAx>
        <c:axId val="100354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546768"/>
        <c:crosses val="autoZero"/>
        <c:auto val="1"/>
        <c:lblAlgn val="ctr"/>
        <c:lblOffset val="100"/>
        <c:noMultiLvlLbl val="0"/>
      </c:catAx>
      <c:valAx>
        <c:axId val="1003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54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 GHG targets mapped to regions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Regional!$M$24</c:f>
              <c:strCache>
                <c:ptCount val="1"/>
                <c:pt idx="0">
                  <c:v>Northeast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Regional!$L$25:$L$30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Regional!$M$25:$M$30</c:f>
              <c:numCache>
                <c:formatCode>General</c:formatCode>
                <c:ptCount val="6"/>
                <c:pt idx="0">
                  <c:v>149.76822839900001</c:v>
                </c:pt>
                <c:pt idx="1">
                  <c:v>125.17103693300001</c:v>
                </c:pt>
                <c:pt idx="2">
                  <c:v>102.889992065</c:v>
                </c:pt>
                <c:pt idx="3">
                  <c:v>80.824986190000004</c:v>
                </c:pt>
                <c:pt idx="4">
                  <c:v>58.759980337000002</c:v>
                </c:pt>
                <c:pt idx="5">
                  <c:v>36.694974475000002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A9-466E-98AC-A12DFA15FDB3}"/>
            </c:ext>
          </c:extLst>
        </c:ser>
        <c:ser>
          <c:idx val="1"/>
          <c:order val="1"/>
          <c:tx>
            <c:strRef>
              <c:f>Regional!$N$24</c:f>
              <c:strCache>
                <c:ptCount val="1"/>
                <c:pt idx="0">
                  <c:v>South Atlantic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Regional!$L$25:$L$30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Regional!$N$25:$N$30</c:f>
              <c:numCache>
                <c:formatCode>General</c:formatCode>
                <c:ptCount val="6"/>
                <c:pt idx="0">
                  <c:v>66.628868488999998</c:v>
                </c:pt>
                <c:pt idx="1">
                  <c:v>54.650523232999994</c:v>
                </c:pt>
                <c:pt idx="2">
                  <c:v>39.145080629022345</c:v>
                </c:pt>
                <c:pt idx="3">
                  <c:v>23.639638033011177</c:v>
                </c:pt>
                <c:pt idx="4">
                  <c:v>8.1341954349999988</c:v>
                </c:pt>
                <c:pt idx="5">
                  <c:v>3.0888155689999999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A9-466E-98AC-A12DFA15FDB3}"/>
            </c:ext>
          </c:extLst>
        </c:ser>
        <c:ser>
          <c:idx val="3"/>
          <c:order val="2"/>
          <c:tx>
            <c:strRef>
              <c:f>Regional!$O$24</c:f>
              <c:strCache>
                <c:ptCount val="1"/>
                <c:pt idx="0">
                  <c:v>West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Regional!$L$25:$L$30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Regional!$O$25:$O$30</c:f>
              <c:numCache>
                <c:formatCode>General</c:formatCode>
                <c:ptCount val="6"/>
                <c:pt idx="0">
                  <c:v>242.72206861330486</c:v>
                </c:pt>
                <c:pt idx="1">
                  <c:v>184.81868371401154</c:v>
                </c:pt>
                <c:pt idx="2">
                  <c:v>137.67763819723734</c:v>
                </c:pt>
                <c:pt idx="3">
                  <c:v>91.818618992741847</c:v>
                </c:pt>
                <c:pt idx="4">
                  <c:v>45.959599797246355</c:v>
                </c:pt>
                <c:pt idx="5">
                  <c:v>19.746361171945065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A9-466E-98AC-A12DFA15F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5715544"/>
        <c:axId val="805715872"/>
      </c:lineChart>
      <c:catAx>
        <c:axId val="805715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715872"/>
        <c:crosses val="autoZero"/>
        <c:auto val="1"/>
        <c:lblAlgn val="ctr"/>
        <c:lblOffset val="100"/>
        <c:noMultiLvlLbl val="0"/>
      </c:catAx>
      <c:valAx>
        <c:axId val="80571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CO2 emissions (MTC)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7155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 GHG targets mapped to regions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Regional!$M$24</c:f>
              <c:strCache>
                <c:ptCount val="1"/>
                <c:pt idx="0">
                  <c:v>Northeast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Regional!$L$37:$L$42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Regional!$M$37:$M$42</c:f>
              <c:numCache>
                <c:formatCode>General</c:formatCode>
                <c:ptCount val="6"/>
                <c:pt idx="0">
                  <c:v>149.76822839900001</c:v>
                </c:pt>
                <c:pt idx="1">
                  <c:v>125.17103693300001</c:v>
                </c:pt>
                <c:pt idx="2">
                  <c:v>102.889992065</c:v>
                </c:pt>
                <c:pt idx="3">
                  <c:v>80.824986190000004</c:v>
                </c:pt>
                <c:pt idx="4">
                  <c:v>58.759980337000002</c:v>
                </c:pt>
                <c:pt idx="5">
                  <c:v>36.694974475000002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67-4FF6-835F-B29CF9AF636E}"/>
            </c:ext>
          </c:extLst>
        </c:ser>
        <c:ser>
          <c:idx val="1"/>
          <c:order val="1"/>
          <c:tx>
            <c:strRef>
              <c:f>Regional!$N$24</c:f>
              <c:strCache>
                <c:ptCount val="1"/>
                <c:pt idx="0">
                  <c:v>South Atlantic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Regional!$L$37:$L$42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Regional!$N$37:$N$42</c:f>
              <c:numCache>
                <c:formatCode>General</c:formatCode>
                <c:ptCount val="6"/>
                <c:pt idx="0">
                  <c:v>66.628868488999998</c:v>
                </c:pt>
                <c:pt idx="1">
                  <c:v>54.650523232999994</c:v>
                </c:pt>
                <c:pt idx="2">
                  <c:v>39.145080629022345</c:v>
                </c:pt>
                <c:pt idx="3">
                  <c:v>23.639638033011177</c:v>
                </c:pt>
                <c:pt idx="4">
                  <c:v>8.1341954349999988</c:v>
                </c:pt>
                <c:pt idx="5">
                  <c:v>3.0888155689999999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67-4FF6-835F-B29CF9AF636E}"/>
            </c:ext>
          </c:extLst>
        </c:ser>
        <c:ser>
          <c:idx val="4"/>
          <c:order val="2"/>
          <c:tx>
            <c:v>Central</c:v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Regional!$L$37:$L$42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Regional!$O$37:$O$42</c:f>
              <c:numCache>
                <c:formatCode>General</c:formatCode>
                <c:ptCount val="6"/>
                <c:pt idx="0">
                  <c:v>100.90358971000001</c:v>
                </c:pt>
                <c:pt idx="1">
                  <c:v>80.398414239999994</c:v>
                </c:pt>
                <c:pt idx="2">
                  <c:v>61.687087259999998</c:v>
                </c:pt>
                <c:pt idx="3">
                  <c:v>42.975760269999995</c:v>
                </c:pt>
                <c:pt idx="4">
                  <c:v>24.264433294</c:v>
                </c:pt>
                <c:pt idx="5">
                  <c:v>5.5531063129999998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67-4FF6-835F-B29CF9AF636E}"/>
            </c:ext>
          </c:extLst>
        </c:ser>
        <c:ser>
          <c:idx val="3"/>
          <c:order val="3"/>
          <c:tx>
            <c:strRef>
              <c:f>Regional!$P$36</c:f>
              <c:strCache>
                <c:ptCount val="1"/>
                <c:pt idx="0">
                  <c:v>West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Regional!$L$37:$L$42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Regional!$P$37:$P$42</c:f>
              <c:numCache>
                <c:formatCode>General</c:formatCode>
                <c:ptCount val="6"/>
                <c:pt idx="0">
                  <c:v>141.81847890330485</c:v>
                </c:pt>
                <c:pt idx="1">
                  <c:v>104.42026947401155</c:v>
                </c:pt>
                <c:pt idx="2">
                  <c:v>75.990550937237359</c:v>
                </c:pt>
                <c:pt idx="3">
                  <c:v>48.842858722741852</c:v>
                </c:pt>
                <c:pt idx="4">
                  <c:v>21.695166503246355</c:v>
                </c:pt>
                <c:pt idx="5">
                  <c:v>14.193254858945064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67-4FF6-835F-B29CF9AF6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5715544"/>
        <c:axId val="805715872"/>
      </c:lineChart>
      <c:catAx>
        <c:axId val="805715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715872"/>
        <c:crosses val="autoZero"/>
        <c:auto val="1"/>
        <c:lblAlgn val="ctr"/>
        <c:lblOffset val="100"/>
        <c:noMultiLvlLbl val="0"/>
      </c:catAx>
      <c:valAx>
        <c:axId val="80571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CO2 emissions (MTC)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7155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 GHG targets mapped to regions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RPO!$M$24</c:f>
              <c:strCache>
                <c:ptCount val="1"/>
                <c:pt idx="0">
                  <c:v>NESCAUM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RPO!$L$25:$L$30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RPO!$M$25:$M$30</c:f>
              <c:numCache>
                <c:formatCode>General</c:formatCode>
                <c:ptCount val="6"/>
                <c:pt idx="0">
                  <c:v>92.943242108999996</c:v>
                </c:pt>
                <c:pt idx="1">
                  <c:v>76.639427022999996</c:v>
                </c:pt>
                <c:pt idx="2">
                  <c:v>62.651758525000005</c:v>
                </c:pt>
                <c:pt idx="3">
                  <c:v>48.880129030000006</c:v>
                </c:pt>
                <c:pt idx="4">
                  <c:v>35.108499557000002</c:v>
                </c:pt>
                <c:pt idx="5">
                  <c:v>21.336870075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BD-4500-B5F8-D607731D3840}"/>
            </c:ext>
          </c:extLst>
        </c:ser>
        <c:ser>
          <c:idx val="1"/>
          <c:order val="1"/>
          <c:tx>
            <c:strRef>
              <c:f>RPO!$N$24</c:f>
              <c:strCache>
                <c:ptCount val="1"/>
                <c:pt idx="0">
                  <c:v>MARAMA-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RPO!$L$25:$L$30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RPO!$N$25:$N$30</c:f>
              <c:numCache>
                <c:formatCode>General</c:formatCode>
                <c:ptCount val="6"/>
                <c:pt idx="0">
                  <c:v>123.453854779</c:v>
                </c:pt>
                <c:pt idx="1">
                  <c:v>103.18213314299999</c:v>
                </c:pt>
                <c:pt idx="2">
                  <c:v>79.383314169022356</c:v>
                </c:pt>
                <c:pt idx="3">
                  <c:v>55.584495193011179</c:v>
                </c:pt>
                <c:pt idx="4">
                  <c:v>31.785676214999999</c:v>
                </c:pt>
                <c:pt idx="5">
                  <c:v>18.446919969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BD-4500-B5F8-D607731D3840}"/>
            </c:ext>
          </c:extLst>
        </c:ser>
        <c:ser>
          <c:idx val="2"/>
          <c:order val="2"/>
          <c:tx>
            <c:strRef>
              <c:f>RPO!$O$24</c:f>
              <c:strCache>
                <c:ptCount val="1"/>
                <c:pt idx="0">
                  <c:v>LADCO+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RPO!$L$25:$L$30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RPO!$O$25:$O$30</c:f>
              <c:numCache>
                <c:formatCode>General</c:formatCode>
                <c:ptCount val="6"/>
                <c:pt idx="0">
                  <c:v>100.90358971000001</c:v>
                </c:pt>
                <c:pt idx="1">
                  <c:v>80.398414239999994</c:v>
                </c:pt>
                <c:pt idx="2">
                  <c:v>61.687087259999998</c:v>
                </c:pt>
                <c:pt idx="3">
                  <c:v>42.975760269999995</c:v>
                </c:pt>
                <c:pt idx="4">
                  <c:v>24.264433294</c:v>
                </c:pt>
                <c:pt idx="5">
                  <c:v>5.5531063129999998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BD-4500-B5F8-D607731D3840}"/>
            </c:ext>
          </c:extLst>
        </c:ser>
        <c:ser>
          <c:idx val="3"/>
          <c:order val="3"/>
          <c:tx>
            <c:strRef>
              <c:f>RPO!$P$24</c:f>
              <c:strCache>
                <c:ptCount val="1"/>
                <c:pt idx="0">
                  <c:v>WRAP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RPO!$L$25:$L$30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RPO!$P$25:$P$30</c:f>
              <c:numCache>
                <c:formatCode>General</c:formatCode>
                <c:ptCount val="6"/>
                <c:pt idx="0">
                  <c:v>141.81847890330485</c:v>
                </c:pt>
                <c:pt idx="1">
                  <c:v>104.42026947401155</c:v>
                </c:pt>
                <c:pt idx="2">
                  <c:v>75.990550937237359</c:v>
                </c:pt>
                <c:pt idx="3">
                  <c:v>48.842858722741852</c:v>
                </c:pt>
                <c:pt idx="4">
                  <c:v>21.695166503246355</c:v>
                </c:pt>
                <c:pt idx="5">
                  <c:v>14.193254858945064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BD-4500-B5F8-D607731D3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5715544"/>
        <c:axId val="805715872"/>
      </c:lineChart>
      <c:catAx>
        <c:axId val="805715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715872"/>
        <c:crosses val="autoZero"/>
        <c:auto val="1"/>
        <c:lblAlgn val="ctr"/>
        <c:lblOffset val="100"/>
        <c:noMultiLvlLbl val="0"/>
      </c:catAx>
      <c:valAx>
        <c:axId val="80571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CO2 emissions (MTC)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7155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155575</xdr:colOff>
      <xdr:row>17</xdr:row>
      <xdr:rowOff>123825</xdr:rowOff>
    </xdr:from>
    <xdr:to>
      <xdr:col>25</xdr:col>
      <xdr:colOff>460375</xdr:colOff>
      <xdr:row>32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126222-94B9-3F2E-FF55-44C2E0472E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523875</xdr:colOff>
      <xdr:row>17</xdr:row>
      <xdr:rowOff>69850</xdr:rowOff>
    </xdr:from>
    <xdr:to>
      <xdr:col>24</xdr:col>
      <xdr:colOff>219075</xdr:colOff>
      <xdr:row>32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1914A2-EC7F-DB67-6840-C50EDE5727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539750</xdr:colOff>
      <xdr:row>33</xdr:row>
      <xdr:rowOff>139700</xdr:rowOff>
    </xdr:from>
    <xdr:to>
      <xdr:col>24</xdr:col>
      <xdr:colOff>234950</xdr:colOff>
      <xdr:row>48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0D6433-5FA6-4004-ADC5-407F8CA66E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396875</xdr:colOff>
      <xdr:row>24</xdr:row>
      <xdr:rowOff>0</xdr:rowOff>
    </xdr:from>
    <xdr:to>
      <xdr:col>24</xdr:col>
      <xdr:colOff>92075</xdr:colOff>
      <xdr:row>38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EB0F75-1CB6-48E8-90DF-CCA17DE5A6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E792E-58F8-40B2-9B0F-5A8107ED428B}">
  <dimension ref="A1:X60"/>
  <sheetViews>
    <sheetView workbookViewId="0">
      <selection activeCell="V7" sqref="V7"/>
    </sheetView>
  </sheetViews>
  <sheetFormatPr defaultRowHeight="14.5" x14ac:dyDescent="0.35"/>
  <sheetData>
    <row r="1" spans="1:24" x14ac:dyDescent="0.35">
      <c r="A1" t="s">
        <v>0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</row>
    <row r="2" spans="1:24" x14ac:dyDescent="0.35">
      <c r="A2" t="s">
        <v>1</v>
      </c>
      <c r="B2">
        <v>16.85139779</v>
      </c>
      <c r="C2">
        <v>1.2682253480000001</v>
      </c>
      <c r="D2">
        <v>23.294622539999999</v>
      </c>
      <c r="E2">
        <v>2.3284119579999998</v>
      </c>
      <c r="F2">
        <v>56.824986289999998</v>
      </c>
      <c r="G2">
        <v>9.1480616990088706</v>
      </c>
      <c r="H2">
        <v>40.003570799999999</v>
      </c>
      <c r="I2">
        <v>11.13592036</v>
      </c>
      <c r="J2">
        <v>23.915580649999999</v>
      </c>
      <c r="K2" s="2"/>
      <c r="L2">
        <v>25.226899329999998</v>
      </c>
      <c r="M2">
        <v>7.3375898069999996</v>
      </c>
      <c r="N2">
        <v>19.435872100000001</v>
      </c>
      <c r="O2">
        <v>38.36983206</v>
      </c>
      <c r="P2">
        <v>3.3844764280000001</v>
      </c>
      <c r="Q2">
        <v>14.70981495</v>
      </c>
      <c r="R2">
        <v>14.29033167</v>
      </c>
      <c r="S2">
        <v>43.097885550000001</v>
      </c>
      <c r="T2">
        <v>3.3975316690000001</v>
      </c>
      <c r="U2">
        <v>7.752645255</v>
      </c>
      <c r="V2">
        <v>19.03624203</v>
      </c>
      <c r="W2">
        <v>78.309267217295968</v>
      </c>
      <c r="X2">
        <f>SUM(B2:W2)</f>
        <v>459.11916550130491</v>
      </c>
    </row>
    <row r="3" spans="1:24" x14ac:dyDescent="0.35">
      <c r="A3" t="s">
        <v>2</v>
      </c>
      <c r="B3">
        <v>10.747482209999999</v>
      </c>
      <c r="C3">
        <v>0.89452598299999997</v>
      </c>
      <c r="D3">
        <v>17.470966910000001</v>
      </c>
      <c r="E3">
        <v>1.829940227</v>
      </c>
      <c r="F3">
        <v>48.53160991</v>
      </c>
      <c r="G3">
        <v>6.8854382884289009</v>
      </c>
      <c r="H3">
        <v>33.924063699999998</v>
      </c>
      <c r="I3">
        <v>8.9240004339999999</v>
      </c>
      <c r="J3">
        <v>20.331528939999998</v>
      </c>
      <c r="K3" s="2"/>
      <c r="L3" s="1">
        <f>4/5*L2</f>
        <v>20.181519464000001</v>
      </c>
      <c r="M3">
        <v>5.870071845</v>
      </c>
      <c r="N3">
        <v>16.659318939999999</v>
      </c>
      <c r="O3">
        <v>30.695865649999998</v>
      </c>
      <c r="P3">
        <v>2.8344787600000001</v>
      </c>
      <c r="Q3">
        <v>13.90922129</v>
      </c>
      <c r="R3">
        <v>11.3100521</v>
      </c>
      <c r="S3">
        <v>33.043229650000001</v>
      </c>
      <c r="T3">
        <v>3.0888155689999999</v>
      </c>
      <c r="U3">
        <v>5.5148373130000001</v>
      </c>
      <c r="V3">
        <v>13.05593498</v>
      </c>
      <c r="W3">
        <v>58.937341716582644</v>
      </c>
      <c r="X3">
        <f t="shared" ref="X3:X7" si="0">SUM(B3:W3)</f>
        <v>364.64024388001155</v>
      </c>
    </row>
    <row r="4" spans="1:24" x14ac:dyDescent="0.35">
      <c r="A4" t="s">
        <v>3</v>
      </c>
      <c r="B4">
        <v>8.3048726169999991</v>
      </c>
      <c r="C4">
        <v>0.74543831900000002</v>
      </c>
      <c r="D4">
        <v>11.647311269999999</v>
      </c>
      <c r="E4">
        <v>1.3314684969999999</v>
      </c>
      <c r="F4">
        <v>40.238233540000003</v>
      </c>
      <c r="G4">
        <v>4.6228148778489304</v>
      </c>
      <c r="H4">
        <v>27.563301760000002</v>
      </c>
      <c r="I4" s="1">
        <f>I3</f>
        <v>8.9240004339999999</v>
      </c>
      <c r="J4">
        <v>16.747477230000001</v>
      </c>
      <c r="K4" s="2"/>
      <c r="L4" s="1">
        <f>3/5*L2</f>
        <v>15.136139597999998</v>
      </c>
      <c r="M4">
        <v>4.4025538839999996</v>
      </c>
      <c r="N4">
        <v>13.88276578</v>
      </c>
      <c r="O4">
        <v>23.02189924</v>
      </c>
      <c r="P4">
        <v>2.3835389569999998</v>
      </c>
      <c r="Q4" s="1">
        <f>Q3</f>
        <v>13.90922129</v>
      </c>
      <c r="R4">
        <v>9.3307929789999999</v>
      </c>
      <c r="S4">
        <v>24.782422239999999</v>
      </c>
      <c r="T4" s="1">
        <f>T3</f>
        <v>3.0888155689999999</v>
      </c>
      <c r="U4">
        <v>4.5497407829999998</v>
      </c>
      <c r="V4">
        <v>10.444747980000001</v>
      </c>
      <c r="W4">
        <v>39.291561144388425</v>
      </c>
      <c r="X4">
        <f t="shared" si="0"/>
        <v>284.34911798923736</v>
      </c>
    </row>
    <row r="5" spans="1:24" x14ac:dyDescent="0.35">
      <c r="A5" t="s">
        <v>4</v>
      </c>
      <c r="B5">
        <v>5.8622630239999998</v>
      </c>
      <c r="C5">
        <v>0.59635065499999995</v>
      </c>
      <c r="D5">
        <v>5.8236556359999998</v>
      </c>
      <c r="E5">
        <v>1.0490357850000001</v>
      </c>
      <c r="F5">
        <v>31.944857160000002</v>
      </c>
      <c r="G5">
        <v>3.6422177825476418</v>
      </c>
      <c r="H5">
        <v>21.202539810000001</v>
      </c>
      <c r="I5" s="1">
        <f t="shared" ref="I5:I7" si="1">I4</f>
        <v>8.9240004339999999</v>
      </c>
      <c r="J5">
        <v>13.16342551</v>
      </c>
      <c r="K5" s="2"/>
      <c r="L5" s="1">
        <f>2/5*L2</f>
        <v>10.090759732</v>
      </c>
      <c r="M5">
        <v>2.935035923</v>
      </c>
      <c r="N5">
        <v>11.10621263</v>
      </c>
      <c r="O5">
        <v>15.34793282</v>
      </c>
      <c r="P5">
        <v>1.9325991549999999</v>
      </c>
      <c r="Q5" s="1">
        <f t="shared" ref="Q5:Q7" si="2">Q4</f>
        <v>13.90922129</v>
      </c>
      <c r="R5">
        <v>7.3515338620000001</v>
      </c>
      <c r="S5">
        <v>16.52161482</v>
      </c>
      <c r="T5" s="1">
        <f t="shared" ref="T5:T7" si="3">T4</f>
        <v>3.0888155689999999</v>
      </c>
      <c r="U5">
        <v>3.584644253</v>
      </c>
      <c r="V5">
        <v>7.8335609870000003</v>
      </c>
      <c r="W5">
        <v>19.645780572194209</v>
      </c>
      <c r="X5">
        <f t="shared" si="0"/>
        <v>205.55605740974181</v>
      </c>
    </row>
    <row r="6" spans="1:24" x14ac:dyDescent="0.35">
      <c r="A6" t="s">
        <v>5</v>
      </c>
      <c r="B6">
        <v>3.4196534299999999</v>
      </c>
      <c r="C6">
        <v>0.447262991</v>
      </c>
      <c r="D6">
        <v>0</v>
      </c>
      <c r="E6">
        <v>0.76660307400000005</v>
      </c>
      <c r="F6">
        <v>23.65148078</v>
      </c>
      <c r="G6">
        <v>2.6616206872463533</v>
      </c>
      <c r="H6">
        <v>14.84177787</v>
      </c>
      <c r="I6" s="1">
        <f t="shared" si="1"/>
        <v>8.9240004339999999</v>
      </c>
      <c r="J6">
        <v>9.5793738000000008</v>
      </c>
      <c r="K6" s="2"/>
      <c r="L6" s="1">
        <f>L2/5</f>
        <v>5.0453798659999993</v>
      </c>
      <c r="M6">
        <v>1.467517961</v>
      </c>
      <c r="N6">
        <v>8.3296594699999993</v>
      </c>
      <c r="O6">
        <v>7.6739664120000004</v>
      </c>
      <c r="P6">
        <v>1.4816593520000001</v>
      </c>
      <c r="Q6" s="1">
        <f t="shared" si="2"/>
        <v>13.90922129</v>
      </c>
      <c r="R6">
        <v>5.3722747460000004</v>
      </c>
      <c r="S6">
        <v>8.2608074120000001</v>
      </c>
      <c r="T6" s="1">
        <f t="shared" si="3"/>
        <v>3.0888155689999999</v>
      </c>
      <c r="U6">
        <v>2.6195477239999998</v>
      </c>
      <c r="V6">
        <v>5.2223739910000004</v>
      </c>
      <c r="W6">
        <v>0</v>
      </c>
      <c r="X6">
        <f t="shared" si="0"/>
        <v>126.76299685924637</v>
      </c>
    </row>
    <row r="7" spans="1:24" x14ac:dyDescent="0.35">
      <c r="A7" t="s">
        <v>6</v>
      </c>
      <c r="B7">
        <v>0.97704383699999997</v>
      </c>
      <c r="C7">
        <v>0.29817532800000002</v>
      </c>
      <c r="D7">
        <v>0</v>
      </c>
      <c r="E7">
        <v>0.48417036200000002</v>
      </c>
      <c r="F7">
        <v>15.3581044</v>
      </c>
      <c r="G7">
        <v>1.6810235919450651</v>
      </c>
      <c r="H7">
        <v>8.4810159259999995</v>
      </c>
      <c r="I7" s="1">
        <f t="shared" si="1"/>
        <v>8.9240004339999999</v>
      </c>
      <c r="J7">
        <v>5.9953220869999999</v>
      </c>
      <c r="K7" s="2"/>
      <c r="L7" s="1">
        <v>0</v>
      </c>
      <c r="M7">
        <v>0</v>
      </c>
      <c r="N7">
        <v>5.5531063129999998</v>
      </c>
      <c r="O7">
        <v>0</v>
      </c>
      <c r="P7">
        <v>1.0307195490000001</v>
      </c>
      <c r="Q7" s="1">
        <f t="shared" si="2"/>
        <v>13.90922129</v>
      </c>
      <c r="R7">
        <v>3.3930156290000002</v>
      </c>
      <c r="S7">
        <v>0</v>
      </c>
      <c r="T7" s="1">
        <f t="shared" si="3"/>
        <v>3.0888155689999999</v>
      </c>
      <c r="U7">
        <v>1.654451194</v>
      </c>
      <c r="V7">
        <v>2.6111869959999998</v>
      </c>
      <c r="W7">
        <v>0</v>
      </c>
      <c r="X7">
        <f t="shared" si="0"/>
        <v>73.439372505945073</v>
      </c>
    </row>
    <row r="10" spans="1:24" x14ac:dyDescent="0.35">
      <c r="A10" t="s">
        <v>0</v>
      </c>
      <c r="C10" t="s">
        <v>26</v>
      </c>
      <c r="D10" t="s">
        <v>27</v>
      </c>
      <c r="E10" t="s">
        <v>11</v>
      </c>
      <c r="F10" t="s">
        <v>13</v>
      </c>
      <c r="G10" t="s">
        <v>17</v>
      </c>
      <c r="I10" t="s">
        <v>32</v>
      </c>
      <c r="T10" t="s">
        <v>33</v>
      </c>
      <c r="U10" t="s">
        <v>36</v>
      </c>
      <c r="V10" t="s">
        <v>30</v>
      </c>
      <c r="W10" t="s">
        <v>37</v>
      </c>
    </row>
    <row r="11" spans="1:24" x14ac:dyDescent="0.35">
      <c r="A11" t="s">
        <v>1</v>
      </c>
      <c r="B11">
        <f>B2</f>
        <v>16.85139779</v>
      </c>
      <c r="C11">
        <v>19.03624203</v>
      </c>
      <c r="D11">
        <f>W2</f>
        <v>78.309267217295968</v>
      </c>
      <c r="E11">
        <f>G2</f>
        <v>9.1480616990088706</v>
      </c>
      <c r="F11">
        <v>11.13592036</v>
      </c>
      <c r="G11">
        <v>7.3375898069999996</v>
      </c>
      <c r="H11">
        <v>2025</v>
      </c>
      <c r="I11">
        <f t="shared" ref="I11:I16" si="4">SUM(B11:G11)</f>
        <v>141.81847890330485</v>
      </c>
      <c r="S11">
        <v>2025</v>
      </c>
      <c r="T11">
        <f>K19</f>
        <v>92.943242108999996</v>
      </c>
      <c r="U11">
        <f>H28</f>
        <v>123.453854779</v>
      </c>
      <c r="V11">
        <f>Q19</f>
        <v>100.90358971000001</v>
      </c>
      <c r="W11">
        <f t="shared" ref="W11:W16" si="5">I11</f>
        <v>141.81847890330485</v>
      </c>
    </row>
    <row r="12" spans="1:24" x14ac:dyDescent="0.35">
      <c r="A12" t="s">
        <v>2</v>
      </c>
      <c r="B12">
        <f t="shared" ref="B12:B16" si="6">B3</f>
        <v>10.747482209999999</v>
      </c>
      <c r="C12">
        <v>13.05593498</v>
      </c>
      <c r="D12">
        <f t="shared" ref="D12:D16" si="7">W3</f>
        <v>58.937341716582644</v>
      </c>
      <c r="E12">
        <f t="shared" ref="E12:E16" si="8">G3</f>
        <v>6.8854382884289009</v>
      </c>
      <c r="F12">
        <v>8.9240004339999999</v>
      </c>
      <c r="G12">
        <v>5.870071845</v>
      </c>
      <c r="H12">
        <v>2030</v>
      </c>
      <c r="I12">
        <f t="shared" si="4"/>
        <v>104.42026947401153</v>
      </c>
      <c r="S12">
        <v>2030</v>
      </c>
      <c r="T12">
        <f t="shared" ref="T12:T16" si="9">K20</f>
        <v>76.639427022999996</v>
      </c>
      <c r="U12">
        <f t="shared" ref="U12:U16" si="10">H29</f>
        <v>103.182133143</v>
      </c>
      <c r="V12">
        <f t="shared" ref="V12:V16" si="11">Q20</f>
        <v>80.398414239999994</v>
      </c>
      <c r="W12">
        <f t="shared" si="5"/>
        <v>104.42026947401153</v>
      </c>
    </row>
    <row r="13" spans="1:24" x14ac:dyDescent="0.35">
      <c r="A13" t="s">
        <v>3</v>
      </c>
      <c r="B13">
        <f t="shared" si="6"/>
        <v>8.3048726169999991</v>
      </c>
      <c r="C13">
        <v>10.444747980000001</v>
      </c>
      <c r="D13">
        <f t="shared" si="7"/>
        <v>39.291561144388425</v>
      </c>
      <c r="E13">
        <f t="shared" si="8"/>
        <v>4.6228148778489304</v>
      </c>
      <c r="F13" s="1">
        <f>F12</f>
        <v>8.9240004339999999</v>
      </c>
      <c r="G13">
        <v>4.4025538839999996</v>
      </c>
      <c r="H13">
        <v>2035</v>
      </c>
      <c r="I13">
        <f t="shared" si="4"/>
        <v>75.990550937237359</v>
      </c>
      <c r="S13">
        <v>2035</v>
      </c>
      <c r="T13">
        <f t="shared" si="9"/>
        <v>62.651758525000005</v>
      </c>
      <c r="U13">
        <f t="shared" si="10"/>
        <v>84.019721266999994</v>
      </c>
      <c r="V13">
        <f t="shared" si="11"/>
        <v>61.687087259999998</v>
      </c>
      <c r="W13">
        <f t="shared" si="5"/>
        <v>75.990550937237359</v>
      </c>
    </row>
    <row r="14" spans="1:24" x14ac:dyDescent="0.35">
      <c r="A14" t="s">
        <v>4</v>
      </c>
      <c r="B14">
        <f t="shared" si="6"/>
        <v>5.8622630239999998</v>
      </c>
      <c r="C14">
        <v>7.8335609870000003</v>
      </c>
      <c r="D14">
        <f t="shared" si="7"/>
        <v>19.645780572194209</v>
      </c>
      <c r="E14">
        <f t="shared" si="8"/>
        <v>3.6422177825476418</v>
      </c>
      <c r="F14" s="1">
        <f t="shared" ref="F14:F16" si="12">F13</f>
        <v>8.9240004339999999</v>
      </c>
      <c r="G14">
        <v>2.935035923</v>
      </c>
      <c r="H14">
        <v>2040</v>
      </c>
      <c r="I14">
        <f t="shared" si="4"/>
        <v>48.842858722741852</v>
      </c>
      <c r="S14">
        <v>2040</v>
      </c>
      <c r="T14">
        <f t="shared" si="9"/>
        <v>48.880129030000006</v>
      </c>
      <c r="U14">
        <f t="shared" si="10"/>
        <v>64.857309387000001</v>
      </c>
      <c r="V14">
        <f t="shared" si="11"/>
        <v>42.975760269999995</v>
      </c>
      <c r="W14">
        <f t="shared" si="5"/>
        <v>48.842858722741852</v>
      </c>
    </row>
    <row r="15" spans="1:24" x14ac:dyDescent="0.35">
      <c r="A15" t="s">
        <v>5</v>
      </c>
      <c r="B15">
        <f t="shared" si="6"/>
        <v>3.4196534299999999</v>
      </c>
      <c r="C15">
        <v>5.2223739910000004</v>
      </c>
      <c r="D15">
        <f t="shared" si="7"/>
        <v>0</v>
      </c>
      <c r="E15">
        <f t="shared" si="8"/>
        <v>2.6616206872463533</v>
      </c>
      <c r="F15" s="1">
        <f t="shared" si="12"/>
        <v>8.9240004339999999</v>
      </c>
      <c r="G15">
        <v>1.467517961</v>
      </c>
      <c r="H15">
        <v>2045</v>
      </c>
      <c r="I15">
        <f t="shared" si="4"/>
        <v>21.695166503246352</v>
      </c>
      <c r="S15">
        <v>2045</v>
      </c>
      <c r="T15">
        <f t="shared" si="9"/>
        <v>35.108499557000002</v>
      </c>
      <c r="U15">
        <f t="shared" si="10"/>
        <v>45.694897505</v>
      </c>
      <c r="V15">
        <f t="shared" si="11"/>
        <v>24.264433294</v>
      </c>
      <c r="W15">
        <f t="shared" si="5"/>
        <v>21.695166503246352</v>
      </c>
    </row>
    <row r="16" spans="1:24" x14ac:dyDescent="0.35">
      <c r="A16" t="s">
        <v>6</v>
      </c>
      <c r="B16">
        <f t="shared" si="6"/>
        <v>0.97704383699999997</v>
      </c>
      <c r="C16">
        <v>2.6111869959999998</v>
      </c>
      <c r="D16">
        <f t="shared" si="7"/>
        <v>0</v>
      </c>
      <c r="E16">
        <f t="shared" si="8"/>
        <v>1.6810235919450651</v>
      </c>
      <c r="F16" s="1">
        <f t="shared" si="12"/>
        <v>8.9240004339999999</v>
      </c>
      <c r="G16">
        <v>0</v>
      </c>
      <c r="H16">
        <v>2050</v>
      </c>
      <c r="I16">
        <f t="shared" si="4"/>
        <v>14.193254858945064</v>
      </c>
      <c r="S16">
        <v>2050</v>
      </c>
      <c r="T16">
        <f t="shared" si="9"/>
        <v>21.336870075</v>
      </c>
      <c r="U16">
        <f t="shared" si="10"/>
        <v>32.356141258999997</v>
      </c>
      <c r="V16">
        <f t="shared" si="11"/>
        <v>5.5531063129999998</v>
      </c>
      <c r="W16">
        <f t="shared" si="5"/>
        <v>14.193254858945064</v>
      </c>
    </row>
    <row r="18" spans="2:17" x14ac:dyDescent="0.35">
      <c r="B18" t="s">
        <v>7</v>
      </c>
      <c r="C18" t="s">
        <v>9</v>
      </c>
      <c r="E18" t="s">
        <v>20</v>
      </c>
      <c r="F18" t="s">
        <v>22</v>
      </c>
      <c r="G18" t="s">
        <v>25</v>
      </c>
      <c r="H18" t="s">
        <v>12</v>
      </c>
      <c r="I18" t="s">
        <v>14</v>
      </c>
      <c r="K18" t="s">
        <v>29</v>
      </c>
      <c r="M18" t="s">
        <v>18</v>
      </c>
      <c r="N18" t="s">
        <v>19</v>
      </c>
      <c r="O18" t="s">
        <v>23</v>
      </c>
      <c r="Q18" t="s">
        <v>30</v>
      </c>
    </row>
    <row r="19" spans="2:17" x14ac:dyDescent="0.35">
      <c r="B19">
        <v>1.2682253480000001</v>
      </c>
      <c r="C19">
        <v>2.3284119579999998</v>
      </c>
      <c r="E19">
        <v>3.3844764280000001</v>
      </c>
      <c r="F19">
        <v>14.29033167</v>
      </c>
      <c r="G19">
        <v>7.752645255</v>
      </c>
      <c r="H19">
        <v>40.003570799999999</v>
      </c>
      <c r="I19">
        <v>23.915580649999999</v>
      </c>
      <c r="J19">
        <v>2025</v>
      </c>
      <c r="K19">
        <f>SUM(B19:I19)</f>
        <v>92.943242108999996</v>
      </c>
      <c r="M19">
        <v>19.435872100000001</v>
      </c>
      <c r="N19">
        <v>38.36983206</v>
      </c>
      <c r="O19">
        <v>43.097885550000001</v>
      </c>
      <c r="P19">
        <v>2025</v>
      </c>
      <c r="Q19">
        <f t="shared" ref="Q19:Q24" si="13">SUM(M19:O19)</f>
        <v>100.90358971000001</v>
      </c>
    </row>
    <row r="20" spans="2:17" x14ac:dyDescent="0.35">
      <c r="B20">
        <v>0.89452598299999997</v>
      </c>
      <c r="C20">
        <v>1.829940227</v>
      </c>
      <c r="E20">
        <v>2.8344787600000001</v>
      </c>
      <c r="F20">
        <v>11.3100521</v>
      </c>
      <c r="G20">
        <v>5.5148373130000001</v>
      </c>
      <c r="H20">
        <v>33.924063699999998</v>
      </c>
      <c r="I20">
        <v>20.331528939999998</v>
      </c>
      <c r="J20">
        <v>2030</v>
      </c>
      <c r="K20">
        <f t="shared" ref="K20:K24" si="14">SUM(B20:I20)</f>
        <v>76.639427022999996</v>
      </c>
      <c r="M20">
        <v>16.659318939999999</v>
      </c>
      <c r="N20">
        <v>30.695865649999998</v>
      </c>
      <c r="O20">
        <v>33.043229650000001</v>
      </c>
      <c r="P20">
        <v>2030</v>
      </c>
      <c r="Q20">
        <f t="shared" si="13"/>
        <v>80.398414239999994</v>
      </c>
    </row>
    <row r="21" spans="2:17" x14ac:dyDescent="0.35">
      <c r="B21">
        <v>0.74543831900000002</v>
      </c>
      <c r="C21">
        <v>1.3314684969999999</v>
      </c>
      <c r="E21">
        <v>2.3835389569999998</v>
      </c>
      <c r="F21">
        <v>9.3307929789999999</v>
      </c>
      <c r="G21">
        <v>4.5497407829999998</v>
      </c>
      <c r="H21">
        <v>27.563301760000002</v>
      </c>
      <c r="I21">
        <v>16.747477230000001</v>
      </c>
      <c r="J21">
        <v>2035</v>
      </c>
      <c r="K21">
        <f t="shared" si="14"/>
        <v>62.651758525000005</v>
      </c>
      <c r="M21">
        <v>13.88276578</v>
      </c>
      <c r="N21">
        <v>23.02189924</v>
      </c>
      <c r="O21">
        <v>24.782422239999999</v>
      </c>
      <c r="P21">
        <v>2035</v>
      </c>
      <c r="Q21">
        <f t="shared" si="13"/>
        <v>61.687087259999998</v>
      </c>
    </row>
    <row r="22" spans="2:17" x14ac:dyDescent="0.35">
      <c r="B22">
        <v>0.59635065499999995</v>
      </c>
      <c r="C22">
        <v>1.0490357850000001</v>
      </c>
      <c r="E22">
        <v>1.9325991549999999</v>
      </c>
      <c r="F22">
        <v>7.3515338620000001</v>
      </c>
      <c r="G22">
        <v>3.584644253</v>
      </c>
      <c r="H22">
        <v>21.202539810000001</v>
      </c>
      <c r="I22">
        <v>13.16342551</v>
      </c>
      <c r="J22">
        <v>2040</v>
      </c>
      <c r="K22">
        <f t="shared" si="14"/>
        <v>48.880129030000006</v>
      </c>
      <c r="M22">
        <v>11.10621263</v>
      </c>
      <c r="N22">
        <v>15.34793282</v>
      </c>
      <c r="O22">
        <v>16.52161482</v>
      </c>
      <c r="P22">
        <v>2040</v>
      </c>
      <c r="Q22">
        <f t="shared" si="13"/>
        <v>42.975760269999995</v>
      </c>
    </row>
    <row r="23" spans="2:17" x14ac:dyDescent="0.35">
      <c r="B23">
        <v>0.447262991</v>
      </c>
      <c r="C23">
        <v>0.76660307400000005</v>
      </c>
      <c r="E23">
        <v>1.4816593520000001</v>
      </c>
      <c r="F23">
        <v>5.3722747460000004</v>
      </c>
      <c r="G23">
        <v>2.6195477239999998</v>
      </c>
      <c r="H23">
        <v>14.84177787</v>
      </c>
      <c r="I23">
        <v>9.5793738000000008</v>
      </c>
      <c r="J23">
        <v>2045</v>
      </c>
      <c r="K23">
        <f t="shared" si="14"/>
        <v>35.108499557000002</v>
      </c>
      <c r="M23">
        <v>8.3296594699999993</v>
      </c>
      <c r="N23">
        <v>7.6739664120000004</v>
      </c>
      <c r="O23">
        <v>8.2608074120000001</v>
      </c>
      <c r="P23">
        <v>2045</v>
      </c>
      <c r="Q23">
        <f t="shared" si="13"/>
        <v>24.264433294</v>
      </c>
    </row>
    <row r="24" spans="2:17" x14ac:dyDescent="0.35">
      <c r="B24">
        <v>0.29817532800000002</v>
      </c>
      <c r="C24">
        <v>0.48417036200000002</v>
      </c>
      <c r="E24">
        <v>1.0307195490000001</v>
      </c>
      <c r="F24">
        <v>3.3930156290000002</v>
      </c>
      <c r="G24">
        <v>1.654451194</v>
      </c>
      <c r="H24">
        <v>8.4810159259999995</v>
      </c>
      <c r="I24">
        <v>5.9953220869999999</v>
      </c>
      <c r="J24">
        <v>2050</v>
      </c>
      <c r="K24">
        <f t="shared" si="14"/>
        <v>21.336870075</v>
      </c>
      <c r="M24">
        <v>5.5531063129999998</v>
      </c>
      <c r="N24">
        <v>0</v>
      </c>
      <c r="O24">
        <v>0</v>
      </c>
      <c r="P24">
        <v>2050</v>
      </c>
      <c r="Q24">
        <f t="shared" si="13"/>
        <v>5.5531063129999998</v>
      </c>
    </row>
    <row r="27" spans="2:17" x14ac:dyDescent="0.35">
      <c r="B27" t="s">
        <v>24</v>
      </c>
      <c r="C27" t="s">
        <v>10</v>
      </c>
      <c r="D27" t="s">
        <v>21</v>
      </c>
      <c r="E27" t="s">
        <v>8</v>
      </c>
      <c r="F27" t="s">
        <v>16</v>
      </c>
      <c r="H27" t="s">
        <v>31</v>
      </c>
    </row>
    <row r="28" spans="2:17" x14ac:dyDescent="0.35">
      <c r="B28">
        <v>3.3975316690000001</v>
      </c>
      <c r="C28">
        <v>56.824986289999998</v>
      </c>
      <c r="D28">
        <v>14.70981495</v>
      </c>
      <c r="E28">
        <v>23.294622539999999</v>
      </c>
      <c r="F28">
        <v>25.226899329999998</v>
      </c>
      <c r="G28">
        <v>2025</v>
      </c>
      <c r="H28">
        <f t="shared" ref="H28:H33" si="15">SUM(B28:F28)</f>
        <v>123.453854779</v>
      </c>
    </row>
    <row r="29" spans="2:17" x14ac:dyDescent="0.35">
      <c r="B29">
        <v>3.0888155689999999</v>
      </c>
      <c r="C29">
        <v>48.53160991</v>
      </c>
      <c r="D29">
        <v>13.90922129</v>
      </c>
      <c r="E29">
        <v>17.470966910000001</v>
      </c>
      <c r="F29" s="1">
        <f>4/5*F28</f>
        <v>20.181519464000001</v>
      </c>
      <c r="G29">
        <v>2030</v>
      </c>
      <c r="H29">
        <f t="shared" si="15"/>
        <v>103.182133143</v>
      </c>
    </row>
    <row r="30" spans="2:17" x14ac:dyDescent="0.35">
      <c r="B30" s="1">
        <f>B29</f>
        <v>3.0888155689999999</v>
      </c>
      <c r="C30">
        <v>40.238233540000003</v>
      </c>
      <c r="D30" s="1">
        <f>D29</f>
        <v>13.90922129</v>
      </c>
      <c r="E30">
        <v>11.647311269999999</v>
      </c>
      <c r="F30" s="1">
        <f>3/5*F28</f>
        <v>15.136139597999998</v>
      </c>
      <c r="G30">
        <v>2035</v>
      </c>
      <c r="H30">
        <f t="shared" si="15"/>
        <v>84.019721266999994</v>
      </c>
    </row>
    <row r="31" spans="2:17" x14ac:dyDescent="0.35">
      <c r="B31" s="1">
        <f t="shared" ref="B31:B33" si="16">B30</f>
        <v>3.0888155689999999</v>
      </c>
      <c r="C31">
        <v>31.944857160000002</v>
      </c>
      <c r="D31" s="1">
        <f t="shared" ref="D31:D33" si="17">D30</f>
        <v>13.90922129</v>
      </c>
      <c r="E31">
        <v>5.8236556359999998</v>
      </c>
      <c r="F31" s="1">
        <f>2/5*F28</f>
        <v>10.090759732</v>
      </c>
      <c r="G31">
        <v>2040</v>
      </c>
      <c r="H31">
        <f t="shared" si="15"/>
        <v>64.857309387000001</v>
      </c>
    </row>
    <row r="32" spans="2:17" x14ac:dyDescent="0.35">
      <c r="B32" s="1">
        <f t="shared" si="16"/>
        <v>3.0888155689999999</v>
      </c>
      <c r="C32">
        <v>23.65148078</v>
      </c>
      <c r="D32" s="1">
        <f t="shared" si="17"/>
        <v>13.90922129</v>
      </c>
      <c r="E32">
        <v>0</v>
      </c>
      <c r="F32" s="1">
        <f>F28/5</f>
        <v>5.0453798659999993</v>
      </c>
      <c r="G32">
        <v>2045</v>
      </c>
      <c r="H32">
        <f t="shared" si="15"/>
        <v>45.694897505</v>
      </c>
    </row>
    <row r="33" spans="1:14" x14ac:dyDescent="0.35">
      <c r="B33" s="1">
        <f t="shared" si="16"/>
        <v>3.0888155689999999</v>
      </c>
      <c r="C33">
        <v>15.3581044</v>
      </c>
      <c r="D33" s="1">
        <f t="shared" si="17"/>
        <v>13.90922129</v>
      </c>
      <c r="E33">
        <v>0</v>
      </c>
      <c r="F33" s="1">
        <v>0</v>
      </c>
      <c r="G33">
        <v>2050</v>
      </c>
      <c r="H33">
        <f t="shared" si="15"/>
        <v>32.356141258999997</v>
      </c>
    </row>
    <row r="35" spans="1:14" x14ac:dyDescent="0.35">
      <c r="A35" t="s">
        <v>33</v>
      </c>
    </row>
    <row r="36" spans="1:14" x14ac:dyDescent="0.35">
      <c r="A36" t="s">
        <v>0</v>
      </c>
      <c r="B36" t="s">
        <v>7</v>
      </c>
      <c r="C36" t="s">
        <v>9</v>
      </c>
      <c r="D36" t="s">
        <v>10</v>
      </c>
      <c r="E36" t="s">
        <v>12</v>
      </c>
      <c r="F36" t="s">
        <v>14</v>
      </c>
      <c r="G36" t="s">
        <v>15</v>
      </c>
      <c r="H36" t="s">
        <v>20</v>
      </c>
      <c r="I36" t="s">
        <v>21</v>
      </c>
      <c r="J36" t="s">
        <v>22</v>
      </c>
      <c r="K36" t="s">
        <v>24</v>
      </c>
      <c r="L36" t="s">
        <v>25</v>
      </c>
      <c r="N36" t="s">
        <v>28</v>
      </c>
    </row>
    <row r="37" spans="1:14" x14ac:dyDescent="0.35">
      <c r="A37" t="s">
        <v>1</v>
      </c>
      <c r="B37">
        <v>1.2682253480000001</v>
      </c>
      <c r="C37">
        <v>2.3284119579999998</v>
      </c>
      <c r="D37">
        <v>56.824986289999998</v>
      </c>
      <c r="E37">
        <v>40.003570799999999</v>
      </c>
      <c r="F37">
        <v>23.915580649999999</v>
      </c>
      <c r="G37">
        <v>3.1865341250000001</v>
      </c>
      <c r="H37">
        <v>3.3844764280000001</v>
      </c>
      <c r="I37">
        <v>14.70981495</v>
      </c>
      <c r="J37">
        <v>14.29033167</v>
      </c>
      <c r="K37">
        <v>3.3975316690000001</v>
      </c>
      <c r="L37">
        <v>7.752645255</v>
      </c>
      <c r="M37">
        <v>2025</v>
      </c>
      <c r="N37">
        <f t="shared" ref="N37:N42" si="18">SUM(B37:L37)</f>
        <v>171.06210914299999</v>
      </c>
    </row>
    <row r="38" spans="1:14" x14ac:dyDescent="0.35">
      <c r="A38" t="s">
        <v>2</v>
      </c>
      <c r="B38">
        <v>0.89452598299999997</v>
      </c>
      <c r="C38">
        <v>1.829940227</v>
      </c>
      <c r="D38">
        <v>48.53160991</v>
      </c>
      <c r="E38">
        <v>33.924063699999998</v>
      </c>
      <c r="F38">
        <v>20.331528939999998</v>
      </c>
      <c r="G38">
        <v>2.708554006</v>
      </c>
      <c r="H38">
        <v>2.8344787600000001</v>
      </c>
      <c r="I38">
        <v>13.90922129</v>
      </c>
      <c r="J38">
        <v>11.3100521</v>
      </c>
      <c r="K38">
        <v>3.0888155689999999</v>
      </c>
      <c r="L38">
        <v>5.5148373130000001</v>
      </c>
      <c r="M38">
        <v>2030</v>
      </c>
      <c r="N38">
        <f t="shared" si="18"/>
        <v>144.87762779799996</v>
      </c>
    </row>
    <row r="39" spans="1:14" x14ac:dyDescent="0.35">
      <c r="A39" t="s">
        <v>3</v>
      </c>
      <c r="B39">
        <v>0.74543831900000002</v>
      </c>
      <c r="C39">
        <v>1.3314684969999999</v>
      </c>
      <c r="D39">
        <v>40.238233540000003</v>
      </c>
      <c r="E39">
        <v>27.563301760000002</v>
      </c>
      <c r="F39">
        <v>16.747477230000001</v>
      </c>
      <c r="G39">
        <v>2.2305738879999999</v>
      </c>
      <c r="H39">
        <v>2.3835389569999998</v>
      </c>
      <c r="I39" s="1">
        <f>I38</f>
        <v>13.90922129</v>
      </c>
      <c r="J39">
        <v>9.3307929789999999</v>
      </c>
      <c r="K39" s="1">
        <f>K38</f>
        <v>3.0888155689999999</v>
      </c>
      <c r="L39">
        <v>4.5497407829999998</v>
      </c>
      <c r="M39">
        <v>2035</v>
      </c>
      <c r="N39">
        <f t="shared" si="18"/>
        <v>122.11860281200001</v>
      </c>
    </row>
    <row r="40" spans="1:14" x14ac:dyDescent="0.35">
      <c r="A40" t="s">
        <v>4</v>
      </c>
      <c r="B40">
        <v>0.59635065499999995</v>
      </c>
      <c r="C40">
        <v>1.0490357850000001</v>
      </c>
      <c r="D40">
        <v>31.944857160000002</v>
      </c>
      <c r="E40">
        <v>21.202539810000001</v>
      </c>
      <c r="F40">
        <v>13.16342551</v>
      </c>
      <c r="G40">
        <v>1.752593769</v>
      </c>
      <c r="H40">
        <v>1.9325991549999999</v>
      </c>
      <c r="I40" s="1">
        <f t="shared" ref="I40:I42" si="19">I39</f>
        <v>13.90922129</v>
      </c>
      <c r="J40">
        <v>7.3515338620000001</v>
      </c>
      <c r="K40" s="1">
        <f t="shared" ref="K40:K42" si="20">K39</f>
        <v>3.0888155689999999</v>
      </c>
      <c r="L40">
        <v>3.584644253</v>
      </c>
      <c r="M40">
        <v>2040</v>
      </c>
      <c r="N40">
        <f t="shared" si="18"/>
        <v>99.575616818</v>
      </c>
    </row>
    <row r="41" spans="1:14" x14ac:dyDescent="0.35">
      <c r="A41" t="s">
        <v>5</v>
      </c>
      <c r="B41">
        <v>0.447262991</v>
      </c>
      <c r="C41">
        <v>0.76660307400000005</v>
      </c>
      <c r="D41">
        <v>23.65148078</v>
      </c>
      <c r="E41">
        <v>14.84177787</v>
      </c>
      <c r="F41">
        <v>9.5793738000000008</v>
      </c>
      <c r="G41">
        <v>1.27461365</v>
      </c>
      <c r="H41">
        <v>1.4816593520000001</v>
      </c>
      <c r="I41" s="1">
        <f t="shared" si="19"/>
        <v>13.90922129</v>
      </c>
      <c r="J41">
        <v>5.3722747460000004</v>
      </c>
      <c r="K41" s="1">
        <f t="shared" si="20"/>
        <v>3.0888155689999999</v>
      </c>
      <c r="L41">
        <v>2.6195477239999998</v>
      </c>
      <c r="M41">
        <v>2045</v>
      </c>
      <c r="N41">
        <f t="shared" si="18"/>
        <v>77.032630846000004</v>
      </c>
    </row>
    <row r="42" spans="1:14" x14ac:dyDescent="0.35">
      <c r="A42" t="s">
        <v>6</v>
      </c>
      <c r="B42">
        <v>0.29817532800000002</v>
      </c>
      <c r="C42">
        <v>0.48417036200000002</v>
      </c>
      <c r="D42">
        <v>15.3581044</v>
      </c>
      <c r="E42">
        <v>8.4810159259999995</v>
      </c>
      <c r="F42">
        <v>5.9953220869999999</v>
      </c>
      <c r="G42">
        <v>0.79663353100000001</v>
      </c>
      <c r="H42">
        <v>1.0307195490000001</v>
      </c>
      <c r="I42" s="1">
        <f t="shared" si="19"/>
        <v>13.90922129</v>
      </c>
      <c r="J42">
        <v>3.3930156290000002</v>
      </c>
      <c r="K42" s="1">
        <f t="shared" si="20"/>
        <v>3.0888155689999999</v>
      </c>
      <c r="L42">
        <v>1.654451194</v>
      </c>
      <c r="M42">
        <v>2050</v>
      </c>
      <c r="N42">
        <f t="shared" si="18"/>
        <v>54.489644864999988</v>
      </c>
    </row>
    <row r="44" spans="1:14" x14ac:dyDescent="0.35">
      <c r="A44" t="s">
        <v>34</v>
      </c>
    </row>
    <row r="45" spans="1:14" x14ac:dyDescent="0.35">
      <c r="A45" t="s">
        <v>0</v>
      </c>
      <c r="B45" t="s">
        <v>8</v>
      </c>
      <c r="C45" t="s">
        <v>16</v>
      </c>
      <c r="D45" t="s">
        <v>23</v>
      </c>
      <c r="F45" t="s">
        <v>28</v>
      </c>
    </row>
    <row r="46" spans="1:14" x14ac:dyDescent="0.35">
      <c r="A46" t="s">
        <v>1</v>
      </c>
      <c r="B46">
        <v>23.294622539999999</v>
      </c>
      <c r="C46">
        <v>25.226899329999998</v>
      </c>
      <c r="D46">
        <v>43.097885550000001</v>
      </c>
      <c r="E46">
        <v>2025</v>
      </c>
      <c r="F46">
        <f t="shared" ref="F46:F51" si="21">SUM(B46:D46)</f>
        <v>91.619407420000002</v>
      </c>
    </row>
    <row r="47" spans="1:14" x14ac:dyDescent="0.35">
      <c r="A47" t="s">
        <v>2</v>
      </c>
      <c r="B47">
        <v>17.470966910000001</v>
      </c>
      <c r="C47" s="1">
        <f>4/5*C46</f>
        <v>20.181519464000001</v>
      </c>
      <c r="D47">
        <v>33.043229650000001</v>
      </c>
      <c r="E47">
        <v>2030</v>
      </c>
      <c r="F47">
        <f t="shared" si="21"/>
        <v>70.695716024000006</v>
      </c>
    </row>
    <row r="48" spans="1:14" x14ac:dyDescent="0.35">
      <c r="A48" t="s">
        <v>3</v>
      </c>
      <c r="B48">
        <v>11.647311269999999</v>
      </c>
      <c r="C48" s="1">
        <f>3/5*C46</f>
        <v>15.136139597999998</v>
      </c>
      <c r="D48">
        <v>24.782422239999999</v>
      </c>
      <c r="E48">
        <v>2035</v>
      </c>
      <c r="F48">
        <f t="shared" si="21"/>
        <v>51.565873107999991</v>
      </c>
    </row>
    <row r="49" spans="1:11" x14ac:dyDescent="0.35">
      <c r="A49" t="s">
        <v>4</v>
      </c>
      <c r="B49">
        <v>5.8236556359999998</v>
      </c>
      <c r="C49" s="1">
        <f>2/5*C46</f>
        <v>10.090759732</v>
      </c>
      <c r="D49">
        <v>16.52161482</v>
      </c>
      <c r="E49">
        <v>2040</v>
      </c>
      <c r="F49">
        <f t="shared" si="21"/>
        <v>32.436030188000004</v>
      </c>
    </row>
    <row r="50" spans="1:11" x14ac:dyDescent="0.35">
      <c r="A50" t="s">
        <v>5</v>
      </c>
      <c r="B50">
        <v>0</v>
      </c>
      <c r="C50" s="1">
        <f>C46/5</f>
        <v>5.0453798659999993</v>
      </c>
      <c r="D50">
        <v>8.2608074120000001</v>
      </c>
      <c r="E50">
        <v>2045</v>
      </c>
      <c r="F50">
        <f t="shared" si="21"/>
        <v>13.306187277999999</v>
      </c>
    </row>
    <row r="51" spans="1:11" x14ac:dyDescent="0.35">
      <c r="A51" t="s">
        <v>6</v>
      </c>
      <c r="B51">
        <v>0</v>
      </c>
      <c r="C51" s="1">
        <v>0</v>
      </c>
      <c r="D51">
        <v>0</v>
      </c>
      <c r="E51">
        <v>2050</v>
      </c>
      <c r="F51">
        <f t="shared" si="21"/>
        <v>0</v>
      </c>
    </row>
    <row r="53" spans="1:11" x14ac:dyDescent="0.35">
      <c r="A53" t="s">
        <v>35</v>
      </c>
    </row>
    <row r="54" spans="1:11" x14ac:dyDescent="0.35">
      <c r="A54" t="s">
        <v>0</v>
      </c>
      <c r="C54" t="s">
        <v>11</v>
      </c>
      <c r="D54" t="s">
        <v>13</v>
      </c>
      <c r="E54" t="s">
        <v>17</v>
      </c>
      <c r="F54" t="s">
        <v>18</v>
      </c>
      <c r="G54" t="s">
        <v>19</v>
      </c>
      <c r="H54" t="s">
        <v>26</v>
      </c>
      <c r="I54" t="s">
        <v>27</v>
      </c>
      <c r="K54" t="s">
        <v>28</v>
      </c>
    </row>
    <row r="55" spans="1:11" x14ac:dyDescent="0.35">
      <c r="A55" t="s">
        <v>1</v>
      </c>
      <c r="B55">
        <v>16.85139779</v>
      </c>
      <c r="C55">
        <v>9.1480616989999994</v>
      </c>
      <c r="D55">
        <v>11.13592036</v>
      </c>
      <c r="E55">
        <v>7.3375898069999996</v>
      </c>
      <c r="F55">
        <v>19.435872100000001</v>
      </c>
      <c r="G55">
        <v>38.36983206</v>
      </c>
      <c r="H55">
        <v>19.03624203</v>
      </c>
      <c r="I55">
        <v>78.309267219999995</v>
      </c>
      <c r="J55">
        <v>2025</v>
      </c>
      <c r="K55">
        <f>SUM(B55:I55)</f>
        <v>199.624183066</v>
      </c>
    </row>
    <row r="56" spans="1:11" x14ac:dyDescent="0.35">
      <c r="A56" t="s">
        <v>2</v>
      </c>
      <c r="B56">
        <v>10.747482209999999</v>
      </c>
      <c r="C56">
        <v>6.8854382879999996</v>
      </c>
      <c r="D56">
        <v>8.9240004339999999</v>
      </c>
      <c r="E56">
        <v>5.870071845</v>
      </c>
      <c r="F56">
        <v>16.659318939999999</v>
      </c>
      <c r="G56">
        <v>30.695865649999998</v>
      </c>
      <c r="H56">
        <v>13.05593498</v>
      </c>
      <c r="I56">
        <v>58.937341719999999</v>
      </c>
      <c r="J56">
        <v>2030</v>
      </c>
      <c r="K56">
        <f t="shared" ref="K56:K60" si="22">SUM(B56:I56)</f>
        <v>151.775454067</v>
      </c>
    </row>
    <row r="57" spans="1:11" x14ac:dyDescent="0.35">
      <c r="A57" t="s">
        <v>3</v>
      </c>
      <c r="B57">
        <v>8.3048726169999991</v>
      </c>
      <c r="C57">
        <v>4.6228148779999998</v>
      </c>
      <c r="D57" s="1">
        <f>D56</f>
        <v>8.9240004339999999</v>
      </c>
      <c r="E57">
        <v>4.4025538839999996</v>
      </c>
      <c r="F57">
        <v>13.88276578</v>
      </c>
      <c r="G57">
        <v>23.02189924</v>
      </c>
      <c r="H57">
        <v>10.444747980000001</v>
      </c>
      <c r="I57">
        <v>44.203006289999998</v>
      </c>
      <c r="J57">
        <v>2035</v>
      </c>
      <c r="K57">
        <f t="shared" si="22"/>
        <v>117.80666110300001</v>
      </c>
    </row>
    <row r="58" spans="1:11" x14ac:dyDescent="0.35">
      <c r="A58" t="s">
        <v>4</v>
      </c>
      <c r="B58">
        <v>5.8622630239999998</v>
      </c>
      <c r="C58">
        <v>3.7823030819999999</v>
      </c>
      <c r="D58" s="1">
        <f t="shared" ref="D58:D60" si="23">D57</f>
        <v>8.9240004339999999</v>
      </c>
      <c r="E58">
        <v>2.935035923</v>
      </c>
      <c r="F58">
        <v>11.10621263</v>
      </c>
      <c r="G58">
        <v>15.34793282</v>
      </c>
      <c r="H58">
        <v>7.8335609870000003</v>
      </c>
      <c r="I58">
        <v>29.46867086</v>
      </c>
      <c r="J58">
        <v>2040</v>
      </c>
      <c r="K58">
        <f t="shared" si="22"/>
        <v>85.259979760000007</v>
      </c>
    </row>
    <row r="59" spans="1:11" x14ac:dyDescent="0.35">
      <c r="A59" t="s">
        <v>5</v>
      </c>
      <c r="B59">
        <v>3.4196534299999999</v>
      </c>
      <c r="C59">
        <v>2.9417912859999999</v>
      </c>
      <c r="D59" s="1">
        <f t="shared" si="23"/>
        <v>8.9240004339999999</v>
      </c>
      <c r="E59">
        <v>1.467517961</v>
      </c>
      <c r="F59">
        <v>8.3296594699999993</v>
      </c>
      <c r="G59">
        <v>7.6739664120000004</v>
      </c>
      <c r="H59">
        <v>5.2223739910000004</v>
      </c>
      <c r="I59">
        <v>14.73433543</v>
      </c>
      <c r="J59">
        <v>2045</v>
      </c>
      <c r="K59">
        <f t="shared" si="22"/>
        <v>52.713298414</v>
      </c>
    </row>
    <row r="60" spans="1:11" x14ac:dyDescent="0.35">
      <c r="A60" t="s">
        <v>6</v>
      </c>
      <c r="B60">
        <v>0.97704383699999997</v>
      </c>
      <c r="C60">
        <v>2.10127949</v>
      </c>
      <c r="D60" s="1">
        <f t="shared" si="23"/>
        <v>8.9240004339999999</v>
      </c>
      <c r="E60">
        <v>0</v>
      </c>
      <c r="F60">
        <v>5.5531063129999998</v>
      </c>
      <c r="G60">
        <v>0</v>
      </c>
      <c r="H60">
        <v>2.6111869959999998</v>
      </c>
      <c r="I60">
        <v>0</v>
      </c>
      <c r="J60">
        <v>2050</v>
      </c>
      <c r="K60">
        <f t="shared" si="22"/>
        <v>20.166617070000001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E10E3-7FBA-4EC4-9D0C-E430F0BBEF5B}">
  <dimension ref="A1:X45"/>
  <sheetViews>
    <sheetView tabSelected="1" topLeftCell="A13" workbookViewId="0">
      <selection activeCell="A54" sqref="A54"/>
    </sheetView>
  </sheetViews>
  <sheetFormatPr defaultRowHeight="14.5" x14ac:dyDescent="0.35"/>
  <sheetData>
    <row r="1" spans="1:24" x14ac:dyDescent="0.35">
      <c r="A1" t="s">
        <v>0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X1" t="s">
        <v>28</v>
      </c>
    </row>
    <row r="2" spans="1:24" x14ac:dyDescent="0.35">
      <c r="A2" t="s">
        <v>1</v>
      </c>
      <c r="B2">
        <v>16.85139779</v>
      </c>
      <c r="C2">
        <v>1.2682253480000001</v>
      </c>
      <c r="D2">
        <v>23.294622539999999</v>
      </c>
      <c r="E2">
        <v>2.3284119579999998</v>
      </c>
      <c r="F2">
        <v>56.824986289999998</v>
      </c>
      <c r="G2">
        <v>9.1480616990088706</v>
      </c>
      <c r="H2">
        <v>40.003570799999999</v>
      </c>
      <c r="I2">
        <v>11.13592036</v>
      </c>
      <c r="J2">
        <v>23.915580649999999</v>
      </c>
      <c r="K2">
        <v>25.226899329999998</v>
      </c>
      <c r="L2">
        <v>7.3375898069999996</v>
      </c>
      <c r="M2">
        <v>19.435872100000001</v>
      </c>
      <c r="N2">
        <v>38.36983206</v>
      </c>
      <c r="O2">
        <v>3.3844764280000001</v>
      </c>
      <c r="P2">
        <v>14.70981495</v>
      </c>
      <c r="Q2">
        <v>14.29033167</v>
      </c>
      <c r="R2">
        <v>43.097885550000001</v>
      </c>
      <c r="S2">
        <v>3.3975316690000001</v>
      </c>
      <c r="T2">
        <v>7.752645255</v>
      </c>
      <c r="U2">
        <v>19.03624203</v>
      </c>
      <c r="V2">
        <v>78.309267217295968</v>
      </c>
      <c r="W2">
        <v>2025</v>
      </c>
      <c r="X2">
        <f>SUM(B2:W2)</f>
        <v>2484.1191655013049</v>
      </c>
    </row>
    <row r="3" spans="1:24" x14ac:dyDescent="0.35">
      <c r="A3" t="s">
        <v>2</v>
      </c>
      <c r="B3">
        <v>10.747482209999999</v>
      </c>
      <c r="C3">
        <v>0.89452598299999997</v>
      </c>
      <c r="D3">
        <v>17.470966910000001</v>
      </c>
      <c r="E3">
        <v>1.829940227</v>
      </c>
      <c r="F3">
        <v>48.53160991</v>
      </c>
      <c r="G3">
        <v>6.8854382884289009</v>
      </c>
      <c r="H3">
        <v>33.924063699999998</v>
      </c>
      <c r="I3">
        <v>8.9240004339999999</v>
      </c>
      <c r="J3">
        <v>20.331528939999998</v>
      </c>
      <c r="K3" s="1">
        <f>4/5*K2</f>
        <v>20.181519464000001</v>
      </c>
      <c r="L3">
        <v>5.870071845</v>
      </c>
      <c r="M3">
        <v>16.659318939999999</v>
      </c>
      <c r="N3">
        <v>30.695865649999998</v>
      </c>
      <c r="O3">
        <v>2.8344787600000001</v>
      </c>
      <c r="P3">
        <v>13.90922129</v>
      </c>
      <c r="Q3">
        <v>11.3100521</v>
      </c>
      <c r="R3">
        <v>33.043229650000001</v>
      </c>
      <c r="S3">
        <v>3.0888155689999999</v>
      </c>
      <c r="T3">
        <v>5.5148373130000001</v>
      </c>
      <c r="U3">
        <v>13.05593498</v>
      </c>
      <c r="V3">
        <v>58.937341716582644</v>
      </c>
      <c r="W3">
        <v>2030</v>
      </c>
      <c r="X3">
        <f>SUM(B3:W3)</f>
        <v>2394.6402438800114</v>
      </c>
    </row>
    <row r="4" spans="1:24" x14ac:dyDescent="0.35">
      <c r="A4" t="s">
        <v>3</v>
      </c>
      <c r="B4">
        <v>8.3048726169999991</v>
      </c>
      <c r="C4">
        <v>0.74543831900000002</v>
      </c>
      <c r="D4">
        <v>11.647311269999999</v>
      </c>
      <c r="E4">
        <v>1.3314684969999999</v>
      </c>
      <c r="F4">
        <v>40.238233540000003</v>
      </c>
      <c r="G4">
        <v>4.6228148778489304</v>
      </c>
      <c r="H4">
        <v>27.563301760000002</v>
      </c>
      <c r="I4" s="1">
        <f>I3</f>
        <v>8.9240004339999999</v>
      </c>
      <c r="J4">
        <v>16.747477230000001</v>
      </c>
      <c r="K4" s="1">
        <f>3/5*K2</f>
        <v>15.136139597999998</v>
      </c>
      <c r="L4">
        <v>4.4025538839999996</v>
      </c>
      <c r="M4">
        <v>13.88276578</v>
      </c>
      <c r="N4">
        <v>23.02189924</v>
      </c>
      <c r="O4">
        <v>2.3835389569999998</v>
      </c>
      <c r="P4" s="1">
        <v>9.2728141920223486</v>
      </c>
      <c r="Q4">
        <v>9.3307929789999999</v>
      </c>
      <c r="R4">
        <v>24.782422239999999</v>
      </c>
      <c r="S4" s="1">
        <f>S3</f>
        <v>3.0888155689999999</v>
      </c>
      <c r="T4">
        <v>4.5497407829999998</v>
      </c>
      <c r="U4">
        <v>10.444747980000001</v>
      </c>
      <c r="V4">
        <v>39.291561144388425</v>
      </c>
      <c r="W4">
        <v>2035</v>
      </c>
      <c r="X4">
        <f>SUM(B4:V4)</f>
        <v>279.71271089125969</v>
      </c>
    </row>
    <row r="5" spans="1:24" x14ac:dyDescent="0.35">
      <c r="A5" t="s">
        <v>4</v>
      </c>
      <c r="B5">
        <v>5.8622630239999998</v>
      </c>
      <c r="C5">
        <v>0.59635065499999995</v>
      </c>
      <c r="D5">
        <v>5.8236556359999998</v>
      </c>
      <c r="E5">
        <v>1.0490357850000001</v>
      </c>
      <c r="F5">
        <v>31.944857160000002</v>
      </c>
      <c r="G5">
        <v>3.6422177825476418</v>
      </c>
      <c r="H5">
        <v>21.202539810000001</v>
      </c>
      <c r="I5" s="1">
        <f t="shared" ref="I5:I7" si="0">I4</f>
        <v>8.9240004339999999</v>
      </c>
      <c r="J5">
        <v>13.16342551</v>
      </c>
      <c r="K5" s="1">
        <f>2/5*K2</f>
        <v>10.090759732</v>
      </c>
      <c r="L5">
        <v>2.935035923</v>
      </c>
      <c r="M5">
        <v>11.10621263</v>
      </c>
      <c r="N5">
        <v>15.34793282</v>
      </c>
      <c r="O5">
        <v>1.9325991549999999</v>
      </c>
      <c r="P5" s="1">
        <v>4.6364070960111752</v>
      </c>
      <c r="Q5">
        <v>7.3515338620000001</v>
      </c>
      <c r="R5">
        <v>16.52161482</v>
      </c>
      <c r="S5" s="1">
        <f t="shared" ref="S5:S7" si="1">S4</f>
        <v>3.0888155689999999</v>
      </c>
      <c r="T5">
        <v>3.584644253</v>
      </c>
      <c r="U5">
        <v>7.8335609870000003</v>
      </c>
      <c r="V5">
        <v>19.645780572194209</v>
      </c>
      <c r="W5">
        <v>2040</v>
      </c>
      <c r="X5">
        <f>SUM(B5:V5)</f>
        <v>196.28324321575298</v>
      </c>
    </row>
    <row r="6" spans="1:24" x14ac:dyDescent="0.35">
      <c r="A6" t="s">
        <v>5</v>
      </c>
      <c r="B6">
        <v>3.4196534299999999</v>
      </c>
      <c r="C6">
        <v>0.447262991</v>
      </c>
      <c r="D6">
        <v>0</v>
      </c>
      <c r="E6">
        <v>0.76660307400000005</v>
      </c>
      <c r="F6">
        <v>23.65148078</v>
      </c>
      <c r="G6">
        <v>2.6616206872463533</v>
      </c>
      <c r="H6">
        <v>14.84177787</v>
      </c>
      <c r="I6" s="1">
        <f t="shared" si="0"/>
        <v>8.9240004339999999</v>
      </c>
      <c r="J6">
        <v>9.5793738000000008</v>
      </c>
      <c r="K6" s="1">
        <f>K2/5</f>
        <v>5.0453798659999993</v>
      </c>
      <c r="L6">
        <v>1.467517961</v>
      </c>
      <c r="M6">
        <v>8.3296594699999993</v>
      </c>
      <c r="N6">
        <v>7.6739664120000004</v>
      </c>
      <c r="O6">
        <v>1.4816593520000001</v>
      </c>
      <c r="P6" s="1">
        <v>0</v>
      </c>
      <c r="Q6">
        <v>5.3722747460000004</v>
      </c>
      <c r="R6">
        <v>8.2608074120000001</v>
      </c>
      <c r="S6" s="1">
        <f t="shared" si="1"/>
        <v>3.0888155689999999</v>
      </c>
      <c r="T6">
        <v>2.6195477239999998</v>
      </c>
      <c r="U6">
        <v>5.2223739910000004</v>
      </c>
      <c r="V6">
        <v>0</v>
      </c>
      <c r="W6">
        <v>2045</v>
      </c>
      <c r="X6">
        <f>SUM(B6:V6)</f>
        <v>112.85377556924637</v>
      </c>
    </row>
    <row r="7" spans="1:24" x14ac:dyDescent="0.35">
      <c r="A7" t="s">
        <v>6</v>
      </c>
      <c r="B7">
        <v>0.97704383699999997</v>
      </c>
      <c r="C7">
        <v>0.29817532800000002</v>
      </c>
      <c r="D7">
        <v>0</v>
      </c>
      <c r="E7">
        <v>0.48417036200000002</v>
      </c>
      <c r="F7">
        <v>15.3581044</v>
      </c>
      <c r="G7">
        <v>1.6810235919450651</v>
      </c>
      <c r="H7">
        <v>8.4810159259999995</v>
      </c>
      <c r="I7" s="1">
        <f t="shared" si="0"/>
        <v>8.9240004339999999</v>
      </c>
      <c r="J7">
        <v>5.9953220869999999</v>
      </c>
      <c r="K7" s="1">
        <v>0</v>
      </c>
      <c r="L7">
        <v>0</v>
      </c>
      <c r="M7">
        <v>5.5531063129999998</v>
      </c>
      <c r="N7">
        <v>0</v>
      </c>
      <c r="O7">
        <v>1.0307195490000001</v>
      </c>
      <c r="P7" s="1">
        <v>0</v>
      </c>
      <c r="Q7">
        <v>3.3930156290000002</v>
      </c>
      <c r="R7">
        <v>0</v>
      </c>
      <c r="S7" s="1">
        <f t="shared" si="1"/>
        <v>3.0888155689999999</v>
      </c>
      <c r="T7">
        <v>1.654451194</v>
      </c>
      <c r="U7">
        <v>2.6111869959999998</v>
      </c>
      <c r="V7">
        <v>0</v>
      </c>
      <c r="W7">
        <v>2050</v>
      </c>
      <c r="X7">
        <f>SUM(B7:V7)</f>
        <v>59.530151215945054</v>
      </c>
    </row>
    <row r="10" spans="1:24" x14ac:dyDescent="0.35">
      <c r="A10" t="s">
        <v>42</v>
      </c>
      <c r="K10" t="s">
        <v>33</v>
      </c>
    </row>
    <row r="11" spans="1:24" x14ac:dyDescent="0.35">
      <c r="B11" t="s">
        <v>25</v>
      </c>
      <c r="C11" t="s">
        <v>22</v>
      </c>
      <c r="D11" t="s">
        <v>20</v>
      </c>
      <c r="E11" t="s">
        <v>7</v>
      </c>
      <c r="F11" t="s">
        <v>9</v>
      </c>
      <c r="G11" t="s">
        <v>10</v>
      </c>
      <c r="H11" t="s">
        <v>12</v>
      </c>
      <c r="I11" t="s">
        <v>14</v>
      </c>
      <c r="J11" t="s">
        <v>38</v>
      </c>
      <c r="K11" t="s">
        <v>39</v>
      </c>
    </row>
    <row r="12" spans="1:24" x14ac:dyDescent="0.35">
      <c r="B12">
        <f>T2</f>
        <v>7.752645255</v>
      </c>
      <c r="C12">
        <f>Q2</f>
        <v>14.29033167</v>
      </c>
      <c r="D12">
        <f>O2</f>
        <v>3.3844764280000001</v>
      </c>
      <c r="E12">
        <f>C2</f>
        <v>1.2682253480000001</v>
      </c>
      <c r="F12">
        <f>E2</f>
        <v>2.3284119579999998</v>
      </c>
      <c r="G12">
        <f>F2</f>
        <v>56.824986289999998</v>
      </c>
      <c r="H12">
        <f>H2</f>
        <v>40.003570799999999</v>
      </c>
      <c r="I12">
        <f>J2</f>
        <v>23.915580649999999</v>
      </c>
      <c r="J12">
        <v>2025</v>
      </c>
      <c r="K12">
        <f>SUM(B12:I12)</f>
        <v>149.76822839900001</v>
      </c>
    </row>
    <row r="13" spans="1:24" x14ac:dyDescent="0.35">
      <c r="B13">
        <f t="shared" ref="B13:B17" si="2">T3</f>
        <v>5.5148373130000001</v>
      </c>
      <c r="C13">
        <f t="shared" ref="C13:C17" si="3">Q3</f>
        <v>11.3100521</v>
      </c>
      <c r="D13">
        <f t="shared" ref="D13:D17" si="4">O3</f>
        <v>2.8344787600000001</v>
      </c>
      <c r="E13">
        <f t="shared" ref="E13:E17" si="5">C3</f>
        <v>0.89452598299999997</v>
      </c>
      <c r="F13">
        <f t="shared" ref="F13" si="6">E3</f>
        <v>1.829940227</v>
      </c>
      <c r="G13">
        <f>F3</f>
        <v>48.53160991</v>
      </c>
      <c r="H13">
        <f t="shared" ref="H13:H17" si="7">H3</f>
        <v>33.924063699999998</v>
      </c>
      <c r="I13">
        <f t="shared" ref="I13:I17" si="8">J3</f>
        <v>20.331528939999998</v>
      </c>
      <c r="J13">
        <f>J12+5</f>
        <v>2030</v>
      </c>
      <c r="K13">
        <f>SUM(B13:I13)</f>
        <v>125.17103693300001</v>
      </c>
    </row>
    <row r="14" spans="1:24" x14ac:dyDescent="0.35">
      <c r="B14">
        <f t="shared" si="2"/>
        <v>4.5497407829999998</v>
      </c>
      <c r="C14">
        <f t="shared" si="3"/>
        <v>9.3307929789999999</v>
      </c>
      <c r="D14">
        <f t="shared" si="4"/>
        <v>2.3835389569999998</v>
      </c>
      <c r="E14">
        <f t="shared" si="5"/>
        <v>0.74543831900000002</v>
      </c>
      <c r="F14">
        <f t="shared" ref="F14" si="9">E4</f>
        <v>1.3314684969999999</v>
      </c>
      <c r="G14">
        <f>F4</f>
        <v>40.238233540000003</v>
      </c>
      <c r="H14">
        <f t="shared" si="7"/>
        <v>27.563301760000002</v>
      </c>
      <c r="I14">
        <f t="shared" si="8"/>
        <v>16.747477230000001</v>
      </c>
      <c r="J14">
        <f t="shared" ref="J14:J17" si="10">J13+5</f>
        <v>2035</v>
      </c>
      <c r="K14">
        <f t="shared" ref="K14:K16" si="11">SUM(B14:I14)</f>
        <v>102.889992065</v>
      </c>
    </row>
    <row r="15" spans="1:24" x14ac:dyDescent="0.35">
      <c r="B15">
        <f t="shared" si="2"/>
        <v>3.584644253</v>
      </c>
      <c r="C15">
        <f t="shared" si="3"/>
        <v>7.3515338620000001</v>
      </c>
      <c r="D15">
        <f t="shared" si="4"/>
        <v>1.9325991549999999</v>
      </c>
      <c r="E15">
        <f t="shared" si="5"/>
        <v>0.59635065499999995</v>
      </c>
      <c r="F15">
        <f t="shared" ref="F15" si="12">E5</f>
        <v>1.0490357850000001</v>
      </c>
      <c r="G15">
        <f>F5</f>
        <v>31.944857160000002</v>
      </c>
      <c r="H15">
        <f t="shared" si="7"/>
        <v>21.202539810000001</v>
      </c>
      <c r="I15">
        <f t="shared" si="8"/>
        <v>13.16342551</v>
      </c>
      <c r="J15">
        <f t="shared" si="10"/>
        <v>2040</v>
      </c>
      <c r="K15">
        <f t="shared" si="11"/>
        <v>80.824986190000004</v>
      </c>
    </row>
    <row r="16" spans="1:24" x14ac:dyDescent="0.35">
      <c r="B16">
        <f t="shared" si="2"/>
        <v>2.6195477239999998</v>
      </c>
      <c r="C16">
        <f t="shared" si="3"/>
        <v>5.3722747460000004</v>
      </c>
      <c r="D16">
        <f t="shared" si="4"/>
        <v>1.4816593520000001</v>
      </c>
      <c r="E16">
        <f t="shared" si="5"/>
        <v>0.447262991</v>
      </c>
      <c r="F16">
        <f t="shared" ref="F16" si="13">E6</f>
        <v>0.76660307400000005</v>
      </c>
      <c r="G16">
        <f>F6</f>
        <v>23.65148078</v>
      </c>
      <c r="H16">
        <f t="shared" si="7"/>
        <v>14.84177787</v>
      </c>
      <c r="I16">
        <f t="shared" si="8"/>
        <v>9.5793738000000008</v>
      </c>
      <c r="J16">
        <f t="shared" si="10"/>
        <v>2045</v>
      </c>
      <c r="K16">
        <f t="shared" si="11"/>
        <v>58.759980337000002</v>
      </c>
    </row>
    <row r="17" spans="1:15" x14ac:dyDescent="0.35">
      <c r="B17">
        <f t="shared" si="2"/>
        <v>1.654451194</v>
      </c>
      <c r="C17">
        <f t="shared" si="3"/>
        <v>3.3930156290000002</v>
      </c>
      <c r="D17">
        <f t="shared" si="4"/>
        <v>1.0307195490000001</v>
      </c>
      <c r="E17">
        <f t="shared" si="5"/>
        <v>0.29817532800000002</v>
      </c>
      <c r="F17">
        <f t="shared" ref="F17" si="14">E7</f>
        <v>0.48417036200000002</v>
      </c>
      <c r="G17">
        <f>F7</f>
        <v>15.3581044</v>
      </c>
      <c r="H17">
        <f t="shared" si="7"/>
        <v>8.4810159259999995</v>
      </c>
      <c r="I17">
        <f t="shared" si="8"/>
        <v>5.9953220869999999</v>
      </c>
      <c r="J17">
        <f t="shared" si="10"/>
        <v>2050</v>
      </c>
      <c r="K17">
        <f>SUM(B17:I17)</f>
        <v>36.694974475000002</v>
      </c>
    </row>
    <row r="19" spans="1:15" x14ac:dyDescent="0.35">
      <c r="A19" t="s">
        <v>36</v>
      </c>
      <c r="G19" t="s">
        <v>40</v>
      </c>
    </row>
    <row r="20" spans="1:15" x14ac:dyDescent="0.35">
      <c r="B20" t="s">
        <v>21</v>
      </c>
      <c r="C20" t="s">
        <v>8</v>
      </c>
      <c r="D20" t="s">
        <v>16</v>
      </c>
      <c r="E20" t="s">
        <v>24</v>
      </c>
      <c r="F20" t="s">
        <v>38</v>
      </c>
      <c r="G20" t="s">
        <v>39</v>
      </c>
    </row>
    <row r="21" spans="1:15" x14ac:dyDescent="0.35">
      <c r="B21">
        <f>P2</f>
        <v>14.70981495</v>
      </c>
      <c r="C21">
        <f>D2</f>
        <v>23.294622539999999</v>
      </c>
      <c r="D21">
        <f>K2</f>
        <v>25.226899329999998</v>
      </c>
      <c r="E21">
        <f>S2</f>
        <v>3.3975316690000001</v>
      </c>
      <c r="F21">
        <v>2025</v>
      </c>
      <c r="G21">
        <f t="shared" ref="G21:G26" si="15">SUM(B21:E21)</f>
        <v>66.628868488999998</v>
      </c>
    </row>
    <row r="22" spans="1:15" x14ac:dyDescent="0.35">
      <c r="B22">
        <f t="shared" ref="B22:B25" si="16">P3</f>
        <v>13.90922129</v>
      </c>
      <c r="C22">
        <f t="shared" ref="C22:C26" si="17">D3</f>
        <v>17.470966910000001</v>
      </c>
      <c r="D22">
        <f t="shared" ref="D22:D25" si="18">K3</f>
        <v>20.181519464000001</v>
      </c>
      <c r="E22">
        <f t="shared" ref="E22:E25" si="19">S3</f>
        <v>3.0888155689999999</v>
      </c>
      <c r="F22">
        <f>F21+5</f>
        <v>2030</v>
      </c>
      <c r="G22">
        <f t="shared" si="15"/>
        <v>54.650523232999994</v>
      </c>
    </row>
    <row r="23" spans="1:15" x14ac:dyDescent="0.35">
      <c r="B23">
        <f t="shared" si="16"/>
        <v>9.2728141920223486</v>
      </c>
      <c r="C23">
        <f t="shared" si="17"/>
        <v>11.647311269999999</v>
      </c>
      <c r="D23">
        <f t="shared" si="18"/>
        <v>15.136139597999998</v>
      </c>
      <c r="E23">
        <f t="shared" si="19"/>
        <v>3.0888155689999999</v>
      </c>
      <c r="F23">
        <f t="shared" ref="F23:F26" si="20">F22+5</f>
        <v>2035</v>
      </c>
      <c r="G23">
        <f t="shared" si="15"/>
        <v>39.145080629022345</v>
      </c>
    </row>
    <row r="24" spans="1:15" x14ac:dyDescent="0.35">
      <c r="B24">
        <f t="shared" si="16"/>
        <v>4.6364070960111752</v>
      </c>
      <c r="C24">
        <f t="shared" si="17"/>
        <v>5.8236556359999998</v>
      </c>
      <c r="D24">
        <f t="shared" si="18"/>
        <v>10.090759732</v>
      </c>
      <c r="E24">
        <f t="shared" si="19"/>
        <v>3.0888155689999999</v>
      </c>
      <c r="F24">
        <f t="shared" si="20"/>
        <v>2040</v>
      </c>
      <c r="G24">
        <f t="shared" si="15"/>
        <v>23.639638033011177</v>
      </c>
      <c r="M24" t="s">
        <v>33</v>
      </c>
      <c r="N24" t="s">
        <v>40</v>
      </c>
      <c r="O24" t="s">
        <v>35</v>
      </c>
    </row>
    <row r="25" spans="1:15" x14ac:dyDescent="0.35">
      <c r="B25">
        <f t="shared" si="16"/>
        <v>0</v>
      </c>
      <c r="C25">
        <f t="shared" si="17"/>
        <v>0</v>
      </c>
      <c r="D25">
        <f t="shared" si="18"/>
        <v>5.0453798659999993</v>
      </c>
      <c r="E25">
        <f t="shared" si="19"/>
        <v>3.0888155689999999</v>
      </c>
      <c r="F25">
        <f t="shared" si="20"/>
        <v>2045</v>
      </c>
      <c r="G25">
        <f t="shared" si="15"/>
        <v>8.1341954349999988</v>
      </c>
      <c r="L25">
        <v>2025</v>
      </c>
      <c r="M25">
        <f>K12</f>
        <v>149.76822839900001</v>
      </c>
      <c r="N25">
        <f>G21</f>
        <v>66.628868488999998</v>
      </c>
      <c r="O25">
        <f>I40+F31</f>
        <v>242.72206861330486</v>
      </c>
    </row>
    <row r="26" spans="1:15" x14ac:dyDescent="0.35">
      <c r="B26">
        <f t="shared" ref="B26" si="21">P7</f>
        <v>0</v>
      </c>
      <c r="C26">
        <f t="shared" si="17"/>
        <v>0</v>
      </c>
      <c r="D26">
        <f t="shared" ref="D26" si="22">K7</f>
        <v>0</v>
      </c>
      <c r="E26">
        <f t="shared" ref="E26" si="23">S7</f>
        <v>3.0888155689999999</v>
      </c>
      <c r="F26">
        <f t="shared" si="20"/>
        <v>2050</v>
      </c>
      <c r="G26">
        <f t="shared" si="15"/>
        <v>3.0888155689999999</v>
      </c>
      <c r="L26">
        <v>2030</v>
      </c>
      <c r="M26">
        <f t="shared" ref="M26:M30" si="24">K13</f>
        <v>125.17103693300001</v>
      </c>
      <c r="N26">
        <f t="shared" ref="N26:N30" si="25">G22</f>
        <v>54.650523232999994</v>
      </c>
      <c r="O26">
        <f>I41+F32</f>
        <v>184.81868371401154</v>
      </c>
    </row>
    <row r="27" spans="1:15" x14ac:dyDescent="0.35">
      <c r="L27">
        <v>2035</v>
      </c>
      <c r="M27">
        <f t="shared" si="24"/>
        <v>102.889992065</v>
      </c>
      <c r="N27">
        <f t="shared" si="25"/>
        <v>39.145080629022345</v>
      </c>
      <c r="O27">
        <f>I42+F33</f>
        <v>137.67763819723734</v>
      </c>
    </row>
    <row r="28" spans="1:15" x14ac:dyDescent="0.35">
      <c r="L28">
        <v>2040</v>
      </c>
      <c r="M28">
        <f t="shared" si="24"/>
        <v>80.824986190000004</v>
      </c>
      <c r="N28">
        <f t="shared" si="25"/>
        <v>23.639638033011177</v>
      </c>
      <c r="O28">
        <f>I43+F34</f>
        <v>91.818618992741847</v>
      </c>
    </row>
    <row r="29" spans="1:15" x14ac:dyDescent="0.35">
      <c r="A29" t="s">
        <v>30</v>
      </c>
      <c r="F29" t="s">
        <v>30</v>
      </c>
      <c r="L29">
        <v>2045</v>
      </c>
      <c r="M29">
        <f t="shared" si="24"/>
        <v>58.759980337000002</v>
      </c>
      <c r="N29">
        <f t="shared" si="25"/>
        <v>8.1341954349999988</v>
      </c>
      <c r="O29">
        <f>I44+F35</f>
        <v>45.959599797246355</v>
      </c>
    </row>
    <row r="30" spans="1:15" x14ac:dyDescent="0.35">
      <c r="B30" t="s">
        <v>18</v>
      </c>
      <c r="C30" t="s">
        <v>19</v>
      </c>
      <c r="D30" t="s">
        <v>23</v>
      </c>
      <c r="E30" t="s">
        <v>38</v>
      </c>
      <c r="F30" t="s">
        <v>39</v>
      </c>
      <c r="L30">
        <v>2050</v>
      </c>
      <c r="M30">
        <f t="shared" si="24"/>
        <v>36.694974475000002</v>
      </c>
      <c r="N30">
        <f t="shared" si="25"/>
        <v>3.0888155689999999</v>
      </c>
      <c r="O30">
        <f>I45+F36</f>
        <v>19.746361171945065</v>
      </c>
    </row>
    <row r="31" spans="1:15" x14ac:dyDescent="0.35">
      <c r="B31">
        <f t="shared" ref="B31:C36" si="26">M2</f>
        <v>19.435872100000001</v>
      </c>
      <c r="C31">
        <f t="shared" si="26"/>
        <v>38.36983206</v>
      </c>
      <c r="D31">
        <f t="shared" ref="D31:D36" si="27">R2</f>
        <v>43.097885550000001</v>
      </c>
      <c r="E31">
        <v>2025</v>
      </c>
      <c r="F31">
        <f t="shared" ref="F31:F36" si="28">SUM(B31:D31)</f>
        <v>100.90358971000001</v>
      </c>
    </row>
    <row r="32" spans="1:15" x14ac:dyDescent="0.35">
      <c r="B32">
        <f t="shared" si="26"/>
        <v>16.659318939999999</v>
      </c>
      <c r="C32">
        <f t="shared" si="26"/>
        <v>30.695865649999998</v>
      </c>
      <c r="D32">
        <f t="shared" si="27"/>
        <v>33.043229650000001</v>
      </c>
      <c r="E32">
        <f>E31+5</f>
        <v>2030</v>
      </c>
      <c r="F32">
        <f t="shared" si="28"/>
        <v>80.398414239999994</v>
      </c>
    </row>
    <row r="33" spans="1:16" x14ac:dyDescent="0.35">
      <c r="B33">
        <f t="shared" si="26"/>
        <v>13.88276578</v>
      </c>
      <c r="C33">
        <f t="shared" si="26"/>
        <v>23.02189924</v>
      </c>
      <c r="D33">
        <f t="shared" si="27"/>
        <v>24.782422239999999</v>
      </c>
      <c r="E33">
        <f t="shared" ref="E33:E36" si="29">E32+5</f>
        <v>2035</v>
      </c>
      <c r="F33">
        <f t="shared" si="28"/>
        <v>61.687087259999998</v>
      </c>
    </row>
    <row r="34" spans="1:16" x14ac:dyDescent="0.35">
      <c r="B34">
        <f t="shared" si="26"/>
        <v>11.10621263</v>
      </c>
      <c r="C34">
        <f t="shared" si="26"/>
        <v>15.34793282</v>
      </c>
      <c r="D34">
        <f t="shared" si="27"/>
        <v>16.52161482</v>
      </c>
      <c r="E34">
        <f t="shared" si="29"/>
        <v>2040</v>
      </c>
      <c r="F34">
        <f t="shared" si="28"/>
        <v>42.975760269999995</v>
      </c>
    </row>
    <row r="35" spans="1:16" x14ac:dyDescent="0.35">
      <c r="B35">
        <f t="shared" si="26"/>
        <v>8.3296594699999993</v>
      </c>
      <c r="C35">
        <f t="shared" si="26"/>
        <v>7.6739664120000004</v>
      </c>
      <c r="D35">
        <f t="shared" si="27"/>
        <v>8.2608074120000001</v>
      </c>
      <c r="E35">
        <f t="shared" si="29"/>
        <v>2045</v>
      </c>
      <c r="F35">
        <f t="shared" si="28"/>
        <v>24.264433294</v>
      </c>
    </row>
    <row r="36" spans="1:16" x14ac:dyDescent="0.35">
      <c r="B36">
        <f t="shared" si="26"/>
        <v>5.5531063129999998</v>
      </c>
      <c r="C36">
        <f t="shared" si="26"/>
        <v>0</v>
      </c>
      <c r="D36">
        <f t="shared" si="27"/>
        <v>0</v>
      </c>
      <c r="E36">
        <f t="shared" si="29"/>
        <v>2050</v>
      </c>
      <c r="F36">
        <f t="shared" si="28"/>
        <v>5.5531063129999998</v>
      </c>
      <c r="M36" t="s">
        <v>33</v>
      </c>
      <c r="N36" t="s">
        <v>40</v>
      </c>
      <c r="O36" t="s">
        <v>30</v>
      </c>
      <c r="P36" t="s">
        <v>35</v>
      </c>
    </row>
    <row r="37" spans="1:16" x14ac:dyDescent="0.35">
      <c r="L37">
        <v>2025</v>
      </c>
      <c r="M37">
        <f>K12</f>
        <v>149.76822839900001</v>
      </c>
      <c r="N37">
        <f>G21</f>
        <v>66.628868488999998</v>
      </c>
      <c r="O37">
        <f>F31</f>
        <v>100.90358971000001</v>
      </c>
      <c r="P37">
        <f>I40</f>
        <v>141.81847890330485</v>
      </c>
    </row>
    <row r="38" spans="1:16" x14ac:dyDescent="0.35">
      <c r="A38" t="s">
        <v>35</v>
      </c>
      <c r="I38" t="s">
        <v>37</v>
      </c>
      <c r="L38">
        <v>2030</v>
      </c>
      <c r="M38">
        <f>K13</f>
        <v>125.17103693300001</v>
      </c>
      <c r="N38">
        <f>G22</f>
        <v>54.650523232999994</v>
      </c>
      <c r="O38">
        <f>F32</f>
        <v>80.398414239999994</v>
      </c>
      <c r="P38">
        <f>I41</f>
        <v>104.42026947401155</v>
      </c>
    </row>
    <row r="39" spans="1:16" x14ac:dyDescent="0.35">
      <c r="B39" t="s">
        <v>27</v>
      </c>
      <c r="C39" t="s">
        <v>11</v>
      </c>
      <c r="D39" t="s">
        <v>41</v>
      </c>
      <c r="E39" t="s">
        <v>13</v>
      </c>
      <c r="F39" t="s">
        <v>17</v>
      </c>
      <c r="G39" t="s">
        <v>26</v>
      </c>
      <c r="H39" t="s">
        <v>38</v>
      </c>
      <c r="I39" t="s">
        <v>39</v>
      </c>
      <c r="L39">
        <v>2035</v>
      </c>
      <c r="M39">
        <f>K14</f>
        <v>102.889992065</v>
      </c>
      <c r="N39">
        <f>G23</f>
        <v>39.145080629022345</v>
      </c>
      <c r="O39">
        <f>F33</f>
        <v>61.687087259999998</v>
      </c>
      <c r="P39">
        <f>I42</f>
        <v>75.990550937237359</v>
      </c>
    </row>
    <row r="40" spans="1:16" x14ac:dyDescent="0.35">
      <c r="B40">
        <f t="shared" ref="B40:B45" si="30">V2</f>
        <v>78.309267217295968</v>
      </c>
      <c r="C40">
        <f t="shared" ref="C40:C45" si="31">G2</f>
        <v>9.1480616990088706</v>
      </c>
      <c r="D40">
        <f t="shared" ref="D40:D45" si="32">B2</f>
        <v>16.85139779</v>
      </c>
      <c r="E40">
        <f t="shared" ref="E40:E45" si="33">I2</f>
        <v>11.13592036</v>
      </c>
      <c r="F40">
        <f t="shared" ref="F40:F45" si="34">L2</f>
        <v>7.3375898069999996</v>
      </c>
      <c r="G40">
        <f>U2</f>
        <v>19.03624203</v>
      </c>
      <c r="H40">
        <v>2025</v>
      </c>
      <c r="I40">
        <f>SUM(B40:G40)</f>
        <v>141.81847890330485</v>
      </c>
      <c r="L40">
        <v>2040</v>
      </c>
      <c r="M40">
        <f>K15</f>
        <v>80.824986190000004</v>
      </c>
      <c r="N40">
        <f>G24</f>
        <v>23.639638033011177</v>
      </c>
      <c r="O40">
        <f>F34</f>
        <v>42.975760269999995</v>
      </c>
      <c r="P40">
        <f>I43</f>
        <v>48.842858722741852</v>
      </c>
    </row>
    <row r="41" spans="1:16" x14ac:dyDescent="0.35">
      <c r="B41">
        <f t="shared" si="30"/>
        <v>58.937341716582644</v>
      </c>
      <c r="C41">
        <f t="shared" si="31"/>
        <v>6.8854382884289009</v>
      </c>
      <c r="D41">
        <f t="shared" si="32"/>
        <v>10.747482209999999</v>
      </c>
      <c r="E41">
        <f t="shared" si="33"/>
        <v>8.9240004339999999</v>
      </c>
      <c r="F41">
        <f t="shared" si="34"/>
        <v>5.870071845</v>
      </c>
      <c r="G41">
        <f t="shared" ref="G41:G45" si="35">U3</f>
        <v>13.05593498</v>
      </c>
      <c r="H41">
        <f>H40+5</f>
        <v>2030</v>
      </c>
      <c r="I41">
        <f t="shared" ref="I41:I45" si="36">SUM(B41:G41)</f>
        <v>104.42026947401155</v>
      </c>
      <c r="L41">
        <v>2045</v>
      </c>
      <c r="M41">
        <f>K16</f>
        <v>58.759980337000002</v>
      </c>
      <c r="N41">
        <f>G25</f>
        <v>8.1341954349999988</v>
      </c>
      <c r="O41">
        <f>F35</f>
        <v>24.264433294</v>
      </c>
      <c r="P41">
        <f>I44</f>
        <v>21.695166503246355</v>
      </c>
    </row>
    <row r="42" spans="1:16" x14ac:dyDescent="0.35">
      <c r="B42">
        <f t="shared" si="30"/>
        <v>39.291561144388425</v>
      </c>
      <c r="C42">
        <f t="shared" si="31"/>
        <v>4.6228148778489304</v>
      </c>
      <c r="D42">
        <f t="shared" si="32"/>
        <v>8.3048726169999991</v>
      </c>
      <c r="E42">
        <f t="shared" si="33"/>
        <v>8.9240004339999999</v>
      </c>
      <c r="F42">
        <f t="shared" si="34"/>
        <v>4.4025538839999996</v>
      </c>
      <c r="G42">
        <f t="shared" si="35"/>
        <v>10.444747980000001</v>
      </c>
      <c r="H42">
        <f t="shared" ref="H42:H45" si="37">H41+5</f>
        <v>2035</v>
      </c>
      <c r="I42">
        <f t="shared" si="36"/>
        <v>75.990550937237359</v>
      </c>
      <c r="L42">
        <v>2050</v>
      </c>
      <c r="M42">
        <f>K17</f>
        <v>36.694974475000002</v>
      </c>
      <c r="N42">
        <f>G26</f>
        <v>3.0888155689999999</v>
      </c>
      <c r="O42">
        <f>F36</f>
        <v>5.5531063129999998</v>
      </c>
      <c r="P42">
        <f>I45</f>
        <v>14.193254858945064</v>
      </c>
    </row>
    <row r="43" spans="1:16" x14ac:dyDescent="0.35">
      <c r="B43">
        <f t="shared" si="30"/>
        <v>19.645780572194209</v>
      </c>
      <c r="C43">
        <f t="shared" si="31"/>
        <v>3.6422177825476418</v>
      </c>
      <c r="D43">
        <f t="shared" si="32"/>
        <v>5.8622630239999998</v>
      </c>
      <c r="E43">
        <f t="shared" si="33"/>
        <v>8.9240004339999999</v>
      </c>
      <c r="F43">
        <f t="shared" si="34"/>
        <v>2.935035923</v>
      </c>
      <c r="G43">
        <f t="shared" si="35"/>
        <v>7.8335609870000003</v>
      </c>
      <c r="H43">
        <f t="shared" si="37"/>
        <v>2040</v>
      </c>
      <c r="I43">
        <f t="shared" si="36"/>
        <v>48.842858722741852</v>
      </c>
    </row>
    <row r="44" spans="1:16" x14ac:dyDescent="0.35">
      <c r="B44">
        <f t="shared" si="30"/>
        <v>0</v>
      </c>
      <c r="C44">
        <f t="shared" si="31"/>
        <v>2.6616206872463533</v>
      </c>
      <c r="D44">
        <f t="shared" si="32"/>
        <v>3.4196534299999999</v>
      </c>
      <c r="E44">
        <f t="shared" si="33"/>
        <v>8.9240004339999999</v>
      </c>
      <c r="F44">
        <f t="shared" si="34"/>
        <v>1.467517961</v>
      </c>
      <c r="G44">
        <f t="shared" si="35"/>
        <v>5.2223739910000004</v>
      </c>
      <c r="H44">
        <f t="shared" si="37"/>
        <v>2045</v>
      </c>
      <c r="I44">
        <f t="shared" si="36"/>
        <v>21.695166503246355</v>
      </c>
    </row>
    <row r="45" spans="1:16" x14ac:dyDescent="0.35">
      <c r="B45">
        <f t="shared" si="30"/>
        <v>0</v>
      </c>
      <c r="C45">
        <f t="shared" si="31"/>
        <v>1.6810235919450651</v>
      </c>
      <c r="D45">
        <f t="shared" si="32"/>
        <v>0.97704383699999997</v>
      </c>
      <c r="E45">
        <f t="shared" si="33"/>
        <v>8.9240004339999999</v>
      </c>
      <c r="F45">
        <f t="shared" si="34"/>
        <v>0</v>
      </c>
      <c r="G45">
        <f t="shared" si="35"/>
        <v>2.6111869959999998</v>
      </c>
      <c r="H45">
        <f t="shared" si="37"/>
        <v>2050</v>
      </c>
      <c r="I45">
        <f t="shared" si="36"/>
        <v>14.193254858945064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FC5FD-EB10-40CF-96ED-CB2F61F48BE6}">
  <dimension ref="A1:X45"/>
  <sheetViews>
    <sheetView topLeftCell="A16" workbookViewId="0">
      <selection activeCell="E31" sqref="E31:F36"/>
    </sheetView>
  </sheetViews>
  <sheetFormatPr defaultRowHeight="14.5" x14ac:dyDescent="0.35"/>
  <sheetData>
    <row r="1" spans="1:24" x14ac:dyDescent="0.35">
      <c r="A1" t="s">
        <v>0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X1" t="s">
        <v>28</v>
      </c>
    </row>
    <row r="2" spans="1:24" x14ac:dyDescent="0.35">
      <c r="A2" t="s">
        <v>1</v>
      </c>
      <c r="B2">
        <v>16.85139779</v>
      </c>
      <c r="C2">
        <v>1.2682253480000001</v>
      </c>
      <c r="D2">
        <v>23.294622539999999</v>
      </c>
      <c r="E2">
        <v>2.3284119579999998</v>
      </c>
      <c r="F2">
        <v>56.824986289999998</v>
      </c>
      <c r="G2">
        <v>9.1480616990088706</v>
      </c>
      <c r="H2">
        <v>40.003570799999999</v>
      </c>
      <c r="I2">
        <v>11.13592036</v>
      </c>
      <c r="J2">
        <v>23.915580649999999</v>
      </c>
      <c r="K2">
        <v>25.226899329999998</v>
      </c>
      <c r="L2">
        <v>7.3375898069999996</v>
      </c>
      <c r="M2">
        <v>19.435872100000001</v>
      </c>
      <c r="N2">
        <v>38.36983206</v>
      </c>
      <c r="O2">
        <v>3.3844764280000001</v>
      </c>
      <c r="P2">
        <v>14.70981495</v>
      </c>
      <c r="Q2">
        <v>14.29033167</v>
      </c>
      <c r="R2">
        <v>43.097885550000001</v>
      </c>
      <c r="S2">
        <v>3.3975316690000001</v>
      </c>
      <c r="T2">
        <v>7.752645255</v>
      </c>
      <c r="U2">
        <v>19.03624203</v>
      </c>
      <c r="V2">
        <v>78.309267217295968</v>
      </c>
      <c r="W2">
        <v>2025</v>
      </c>
      <c r="X2">
        <f>SUM(B2:W2)</f>
        <v>2484.1191655013049</v>
      </c>
    </row>
    <row r="3" spans="1:24" x14ac:dyDescent="0.35">
      <c r="A3" t="s">
        <v>2</v>
      </c>
      <c r="B3">
        <v>10.747482209999999</v>
      </c>
      <c r="C3">
        <v>0.89452598299999997</v>
      </c>
      <c r="D3">
        <v>17.470966910000001</v>
      </c>
      <c r="E3">
        <v>1.829940227</v>
      </c>
      <c r="F3">
        <v>48.53160991</v>
      </c>
      <c r="G3">
        <v>6.8854382884289009</v>
      </c>
      <c r="H3">
        <v>33.924063699999998</v>
      </c>
      <c r="I3">
        <v>8.9240004339999999</v>
      </c>
      <c r="J3">
        <v>20.331528939999998</v>
      </c>
      <c r="K3" s="1">
        <f>4/5*K2</f>
        <v>20.181519464000001</v>
      </c>
      <c r="L3">
        <v>5.870071845</v>
      </c>
      <c r="M3">
        <v>16.659318939999999</v>
      </c>
      <c r="N3">
        <v>30.695865649999998</v>
      </c>
      <c r="O3">
        <v>2.8344787600000001</v>
      </c>
      <c r="P3">
        <v>13.90922129</v>
      </c>
      <c r="Q3">
        <v>11.3100521</v>
      </c>
      <c r="R3">
        <v>33.043229650000001</v>
      </c>
      <c r="S3">
        <v>3.0888155689999999</v>
      </c>
      <c r="T3">
        <v>5.5148373130000001</v>
      </c>
      <c r="U3">
        <v>13.05593498</v>
      </c>
      <c r="V3">
        <v>58.937341716582644</v>
      </c>
      <c r="W3">
        <v>2030</v>
      </c>
      <c r="X3">
        <f>SUM(B3:W3)</f>
        <v>2394.6402438800114</v>
      </c>
    </row>
    <row r="4" spans="1:24" x14ac:dyDescent="0.35">
      <c r="A4" t="s">
        <v>3</v>
      </c>
      <c r="B4">
        <v>8.3048726169999991</v>
      </c>
      <c r="C4">
        <v>0.74543831900000002</v>
      </c>
      <c r="D4">
        <v>11.647311269999999</v>
      </c>
      <c r="E4">
        <v>1.3314684969999999</v>
      </c>
      <c r="F4">
        <v>40.238233540000003</v>
      </c>
      <c r="G4">
        <v>4.6228148778489304</v>
      </c>
      <c r="H4">
        <v>27.563301760000002</v>
      </c>
      <c r="I4" s="1">
        <f>I3</f>
        <v>8.9240004339999999</v>
      </c>
      <c r="J4">
        <v>16.747477230000001</v>
      </c>
      <c r="K4" s="1">
        <f>3/5*K2</f>
        <v>15.136139597999998</v>
      </c>
      <c r="L4">
        <v>4.4025538839999996</v>
      </c>
      <c r="M4">
        <v>13.88276578</v>
      </c>
      <c r="N4">
        <v>23.02189924</v>
      </c>
      <c r="O4">
        <v>2.3835389569999998</v>
      </c>
      <c r="P4" s="1">
        <v>9.2728141920223486</v>
      </c>
      <c r="Q4">
        <v>9.3307929789999999</v>
      </c>
      <c r="R4">
        <v>24.782422239999999</v>
      </c>
      <c r="S4" s="1">
        <f>S3</f>
        <v>3.0888155689999999</v>
      </c>
      <c r="T4">
        <v>4.5497407829999998</v>
      </c>
      <c r="U4">
        <v>10.444747980000001</v>
      </c>
      <c r="V4">
        <v>39.291561144388425</v>
      </c>
      <c r="W4">
        <v>2035</v>
      </c>
      <c r="X4">
        <f>SUM(B4:V4)</f>
        <v>279.71271089125969</v>
      </c>
    </row>
    <row r="5" spans="1:24" x14ac:dyDescent="0.35">
      <c r="A5" t="s">
        <v>4</v>
      </c>
      <c r="B5">
        <v>5.8622630239999998</v>
      </c>
      <c r="C5">
        <v>0.59635065499999995</v>
      </c>
      <c r="D5">
        <v>5.8236556359999998</v>
      </c>
      <c r="E5">
        <v>1.0490357850000001</v>
      </c>
      <c r="F5">
        <v>31.944857160000002</v>
      </c>
      <c r="G5">
        <v>3.6422177825476418</v>
      </c>
      <c r="H5">
        <v>21.202539810000001</v>
      </c>
      <c r="I5" s="1">
        <f t="shared" ref="I5:I7" si="0">I4</f>
        <v>8.9240004339999999</v>
      </c>
      <c r="J5">
        <v>13.16342551</v>
      </c>
      <c r="K5" s="1">
        <f>2/5*K2</f>
        <v>10.090759732</v>
      </c>
      <c r="L5">
        <v>2.935035923</v>
      </c>
      <c r="M5">
        <v>11.10621263</v>
      </c>
      <c r="N5">
        <v>15.34793282</v>
      </c>
      <c r="O5">
        <v>1.9325991549999999</v>
      </c>
      <c r="P5" s="1">
        <v>4.6364070960111752</v>
      </c>
      <c r="Q5">
        <v>7.3515338620000001</v>
      </c>
      <c r="R5">
        <v>16.52161482</v>
      </c>
      <c r="S5" s="1">
        <f t="shared" ref="S5:S7" si="1">S4</f>
        <v>3.0888155689999999</v>
      </c>
      <c r="T5">
        <v>3.584644253</v>
      </c>
      <c r="U5">
        <v>7.8335609870000003</v>
      </c>
      <c r="V5">
        <v>19.645780572194209</v>
      </c>
      <c r="W5">
        <v>2040</v>
      </c>
      <c r="X5">
        <f>SUM(B5:V5)</f>
        <v>196.28324321575298</v>
      </c>
    </row>
    <row r="6" spans="1:24" x14ac:dyDescent="0.35">
      <c r="A6" t="s">
        <v>5</v>
      </c>
      <c r="B6">
        <v>3.4196534299999999</v>
      </c>
      <c r="C6">
        <v>0.447262991</v>
      </c>
      <c r="D6">
        <v>0</v>
      </c>
      <c r="E6">
        <v>0.76660307400000005</v>
      </c>
      <c r="F6">
        <v>23.65148078</v>
      </c>
      <c r="G6">
        <v>2.6616206872463533</v>
      </c>
      <c r="H6">
        <v>14.84177787</v>
      </c>
      <c r="I6" s="1">
        <f t="shared" si="0"/>
        <v>8.9240004339999999</v>
      </c>
      <c r="J6">
        <v>9.5793738000000008</v>
      </c>
      <c r="K6" s="1">
        <f>K2/5</f>
        <v>5.0453798659999993</v>
      </c>
      <c r="L6">
        <v>1.467517961</v>
      </c>
      <c r="M6">
        <v>8.3296594699999993</v>
      </c>
      <c r="N6">
        <v>7.6739664120000004</v>
      </c>
      <c r="O6">
        <v>1.4816593520000001</v>
      </c>
      <c r="P6" s="1">
        <v>0</v>
      </c>
      <c r="Q6">
        <v>5.3722747460000004</v>
      </c>
      <c r="R6">
        <v>8.2608074120000001</v>
      </c>
      <c r="S6" s="1">
        <f t="shared" si="1"/>
        <v>3.0888155689999999</v>
      </c>
      <c r="T6">
        <v>2.6195477239999998</v>
      </c>
      <c r="U6">
        <v>5.2223739910000004</v>
      </c>
      <c r="V6">
        <v>0</v>
      </c>
      <c r="W6">
        <v>2045</v>
      </c>
      <c r="X6">
        <f>SUM(B6:V6)</f>
        <v>112.85377556924637</v>
      </c>
    </row>
    <row r="7" spans="1:24" x14ac:dyDescent="0.35">
      <c r="A7" t="s">
        <v>6</v>
      </c>
      <c r="B7">
        <v>0.97704383699999997</v>
      </c>
      <c r="C7">
        <v>0.29817532800000002</v>
      </c>
      <c r="D7">
        <v>0</v>
      </c>
      <c r="E7">
        <v>0.48417036200000002</v>
      </c>
      <c r="F7">
        <v>15.3581044</v>
      </c>
      <c r="G7">
        <v>1.6810235919450651</v>
      </c>
      <c r="H7">
        <v>8.4810159259999995</v>
      </c>
      <c r="I7" s="1">
        <f t="shared" si="0"/>
        <v>8.9240004339999999</v>
      </c>
      <c r="J7">
        <v>5.9953220869999999</v>
      </c>
      <c r="K7" s="1">
        <v>0</v>
      </c>
      <c r="L7">
        <v>0</v>
      </c>
      <c r="M7">
        <v>5.5531063129999998</v>
      </c>
      <c r="N7">
        <v>0</v>
      </c>
      <c r="O7">
        <v>1.0307195490000001</v>
      </c>
      <c r="P7" s="1">
        <v>0</v>
      </c>
      <c r="Q7">
        <v>3.3930156290000002</v>
      </c>
      <c r="R7">
        <v>0</v>
      </c>
      <c r="S7" s="1">
        <f t="shared" si="1"/>
        <v>3.0888155689999999</v>
      </c>
      <c r="T7">
        <v>1.654451194</v>
      </c>
      <c r="U7">
        <v>2.6111869959999998</v>
      </c>
      <c r="V7">
        <v>0</v>
      </c>
      <c r="W7">
        <v>2050</v>
      </c>
      <c r="X7">
        <f>SUM(B7:V7)</f>
        <v>59.530151215945054</v>
      </c>
    </row>
    <row r="10" spans="1:24" x14ac:dyDescent="0.35">
      <c r="A10" t="s">
        <v>29</v>
      </c>
      <c r="J10" t="s">
        <v>29</v>
      </c>
    </row>
    <row r="11" spans="1:24" x14ac:dyDescent="0.35">
      <c r="B11" t="s">
        <v>25</v>
      </c>
      <c r="C11" t="s">
        <v>22</v>
      </c>
      <c r="D11" t="s">
        <v>20</v>
      </c>
      <c r="E11" t="s">
        <v>7</v>
      </c>
      <c r="F11" t="s">
        <v>9</v>
      </c>
      <c r="G11" t="s">
        <v>12</v>
      </c>
      <c r="H11" t="s">
        <v>14</v>
      </c>
      <c r="I11" t="s">
        <v>38</v>
      </c>
      <c r="J11" t="s">
        <v>39</v>
      </c>
    </row>
    <row r="12" spans="1:24" x14ac:dyDescent="0.35">
      <c r="B12">
        <f>T2</f>
        <v>7.752645255</v>
      </c>
      <c r="C12">
        <f>Q2</f>
        <v>14.29033167</v>
      </c>
      <c r="D12">
        <f>O2</f>
        <v>3.3844764280000001</v>
      </c>
      <c r="E12">
        <f>C2</f>
        <v>1.2682253480000001</v>
      </c>
      <c r="F12">
        <f>E2</f>
        <v>2.3284119579999998</v>
      </c>
      <c r="G12">
        <f>H2</f>
        <v>40.003570799999999</v>
      </c>
      <c r="H12">
        <f>J2</f>
        <v>23.915580649999999</v>
      </c>
      <c r="I12">
        <v>2025</v>
      </c>
      <c r="J12">
        <f>SUM(B12:H12)</f>
        <v>92.943242108999996</v>
      </c>
    </row>
    <row r="13" spans="1:24" x14ac:dyDescent="0.35">
      <c r="B13">
        <f t="shared" ref="B13:B17" si="2">T3</f>
        <v>5.5148373130000001</v>
      </c>
      <c r="C13">
        <f t="shared" ref="C13:C17" si="3">Q3</f>
        <v>11.3100521</v>
      </c>
      <c r="D13">
        <f t="shared" ref="D13:D17" si="4">O3</f>
        <v>2.8344787600000001</v>
      </c>
      <c r="E13">
        <f t="shared" ref="E13:E17" si="5">C3</f>
        <v>0.89452598299999997</v>
      </c>
      <c r="F13">
        <f t="shared" ref="F13:F17" si="6">E3</f>
        <v>1.829940227</v>
      </c>
      <c r="G13">
        <f>H3</f>
        <v>33.924063699999998</v>
      </c>
      <c r="H13">
        <f>J3</f>
        <v>20.331528939999998</v>
      </c>
      <c r="I13">
        <f>I12+5</f>
        <v>2030</v>
      </c>
      <c r="J13">
        <f>SUM(B13:H13)</f>
        <v>76.639427022999996</v>
      </c>
    </row>
    <row r="14" spans="1:24" x14ac:dyDescent="0.35">
      <c r="B14">
        <f t="shared" si="2"/>
        <v>4.5497407829999998</v>
      </c>
      <c r="C14">
        <f t="shared" si="3"/>
        <v>9.3307929789999999</v>
      </c>
      <c r="D14">
        <f t="shared" si="4"/>
        <v>2.3835389569999998</v>
      </c>
      <c r="E14">
        <f t="shared" si="5"/>
        <v>0.74543831900000002</v>
      </c>
      <c r="F14">
        <f t="shared" si="6"/>
        <v>1.3314684969999999</v>
      </c>
      <c r="G14">
        <f>H4</f>
        <v>27.563301760000002</v>
      </c>
      <c r="H14">
        <f>J4</f>
        <v>16.747477230000001</v>
      </c>
      <c r="I14">
        <f t="shared" ref="I14:I17" si="7">I13+5</f>
        <v>2035</v>
      </c>
      <c r="J14">
        <f>SUM(B14:H14)</f>
        <v>62.651758525000005</v>
      </c>
    </row>
    <row r="15" spans="1:24" x14ac:dyDescent="0.35">
      <c r="B15">
        <f t="shared" si="2"/>
        <v>3.584644253</v>
      </c>
      <c r="C15">
        <f t="shared" si="3"/>
        <v>7.3515338620000001</v>
      </c>
      <c r="D15">
        <f t="shared" si="4"/>
        <v>1.9325991549999999</v>
      </c>
      <c r="E15">
        <f t="shared" si="5"/>
        <v>0.59635065499999995</v>
      </c>
      <c r="F15">
        <f t="shared" si="6"/>
        <v>1.0490357850000001</v>
      </c>
      <c r="G15">
        <f>H5</f>
        <v>21.202539810000001</v>
      </c>
      <c r="H15">
        <f>J5</f>
        <v>13.16342551</v>
      </c>
      <c r="I15">
        <f t="shared" si="7"/>
        <v>2040</v>
      </c>
      <c r="J15">
        <f>SUM(B15:H15)</f>
        <v>48.880129030000006</v>
      </c>
    </row>
    <row r="16" spans="1:24" x14ac:dyDescent="0.35">
      <c r="B16">
        <f t="shared" si="2"/>
        <v>2.6195477239999998</v>
      </c>
      <c r="C16">
        <f t="shared" si="3"/>
        <v>5.3722747460000004</v>
      </c>
      <c r="D16">
        <f t="shared" si="4"/>
        <v>1.4816593520000001</v>
      </c>
      <c r="E16">
        <f t="shared" si="5"/>
        <v>0.447262991</v>
      </c>
      <c r="F16">
        <f t="shared" si="6"/>
        <v>0.76660307400000005</v>
      </c>
      <c r="G16">
        <f>H6</f>
        <v>14.84177787</v>
      </c>
      <c r="H16">
        <f>J6</f>
        <v>9.5793738000000008</v>
      </c>
      <c r="I16">
        <f t="shared" si="7"/>
        <v>2045</v>
      </c>
      <c r="J16">
        <f>SUM(B16:H16)</f>
        <v>35.108499557000002</v>
      </c>
    </row>
    <row r="17" spans="1:16" x14ac:dyDescent="0.35">
      <c r="B17">
        <f t="shared" si="2"/>
        <v>1.654451194</v>
      </c>
      <c r="C17">
        <f t="shared" si="3"/>
        <v>3.3930156290000002</v>
      </c>
      <c r="D17">
        <f t="shared" si="4"/>
        <v>1.0307195490000001</v>
      </c>
      <c r="E17">
        <f t="shared" si="5"/>
        <v>0.29817532800000002</v>
      </c>
      <c r="F17">
        <f t="shared" si="6"/>
        <v>0.48417036200000002</v>
      </c>
      <c r="G17">
        <f>H7</f>
        <v>8.4810159259999995</v>
      </c>
      <c r="H17">
        <f>J7</f>
        <v>5.9953220869999999</v>
      </c>
      <c r="I17">
        <f t="shared" si="7"/>
        <v>2050</v>
      </c>
      <c r="J17">
        <f>SUM(B17:H17)</f>
        <v>21.336870075</v>
      </c>
    </row>
    <row r="19" spans="1:16" x14ac:dyDescent="0.35">
      <c r="A19" t="s">
        <v>31</v>
      </c>
      <c r="H19" t="s">
        <v>31</v>
      </c>
    </row>
    <row r="20" spans="1:16" x14ac:dyDescent="0.35">
      <c r="B20" t="s">
        <v>21</v>
      </c>
      <c r="C20" t="s">
        <v>8</v>
      </c>
      <c r="D20" t="s">
        <v>16</v>
      </c>
      <c r="E20" t="s">
        <v>24</v>
      </c>
      <c r="F20" t="s">
        <v>10</v>
      </c>
      <c r="G20" t="s">
        <v>38</v>
      </c>
      <c r="H20" t="s">
        <v>39</v>
      </c>
    </row>
    <row r="21" spans="1:16" x14ac:dyDescent="0.35">
      <c r="B21">
        <f>P2</f>
        <v>14.70981495</v>
      </c>
      <c r="C21">
        <f>D2</f>
        <v>23.294622539999999</v>
      </c>
      <c r="D21">
        <f>K2</f>
        <v>25.226899329999998</v>
      </c>
      <c r="E21">
        <f>S2</f>
        <v>3.3975316690000001</v>
      </c>
      <c r="F21">
        <f>F2</f>
        <v>56.824986289999998</v>
      </c>
      <c r="G21">
        <v>2025</v>
      </c>
      <c r="H21">
        <f>SUM(B21:F21)</f>
        <v>123.453854779</v>
      </c>
    </row>
    <row r="22" spans="1:16" x14ac:dyDescent="0.35">
      <c r="B22">
        <f t="shared" ref="B22:B26" si="8">P3</f>
        <v>13.90922129</v>
      </c>
      <c r="C22">
        <f t="shared" ref="C22:C26" si="9">D3</f>
        <v>17.470966910000001</v>
      </c>
      <c r="D22">
        <f t="shared" ref="D22:D26" si="10">K3</f>
        <v>20.181519464000001</v>
      </c>
      <c r="E22">
        <f t="shared" ref="E22:E26" si="11">S3</f>
        <v>3.0888155689999999</v>
      </c>
      <c r="F22">
        <f>F3</f>
        <v>48.53160991</v>
      </c>
      <c r="G22">
        <f>G21+5</f>
        <v>2030</v>
      </c>
      <c r="H22">
        <f t="shared" ref="H22:H26" si="12">SUM(B22:F22)</f>
        <v>103.18213314299999</v>
      </c>
    </row>
    <row r="23" spans="1:16" x14ac:dyDescent="0.35">
      <c r="B23">
        <f t="shared" si="8"/>
        <v>9.2728141920223486</v>
      </c>
      <c r="C23">
        <f t="shared" si="9"/>
        <v>11.647311269999999</v>
      </c>
      <c r="D23">
        <f t="shared" si="10"/>
        <v>15.136139597999998</v>
      </c>
      <c r="E23">
        <f t="shared" si="11"/>
        <v>3.0888155689999999</v>
      </c>
      <c r="F23">
        <f>F4</f>
        <v>40.238233540000003</v>
      </c>
      <c r="G23">
        <f t="shared" ref="G23:G26" si="13">G22+5</f>
        <v>2035</v>
      </c>
      <c r="H23">
        <f t="shared" si="12"/>
        <v>79.383314169022356</v>
      </c>
    </row>
    <row r="24" spans="1:16" x14ac:dyDescent="0.35">
      <c r="B24">
        <f t="shared" si="8"/>
        <v>4.6364070960111752</v>
      </c>
      <c r="C24">
        <f t="shared" si="9"/>
        <v>5.8236556359999998</v>
      </c>
      <c r="D24">
        <f t="shared" si="10"/>
        <v>10.090759732</v>
      </c>
      <c r="E24">
        <f t="shared" si="11"/>
        <v>3.0888155689999999</v>
      </c>
      <c r="F24">
        <f>F5</f>
        <v>31.944857160000002</v>
      </c>
      <c r="G24">
        <f t="shared" si="13"/>
        <v>2040</v>
      </c>
      <c r="H24">
        <f t="shared" si="12"/>
        <v>55.584495193011179</v>
      </c>
      <c r="M24" t="s">
        <v>29</v>
      </c>
      <c r="N24" t="s">
        <v>44</v>
      </c>
      <c r="O24" t="s">
        <v>43</v>
      </c>
      <c r="P24" t="s">
        <v>32</v>
      </c>
    </row>
    <row r="25" spans="1:16" x14ac:dyDescent="0.35">
      <c r="B25">
        <f t="shared" si="8"/>
        <v>0</v>
      </c>
      <c r="C25">
        <f t="shared" si="9"/>
        <v>0</v>
      </c>
      <c r="D25">
        <f t="shared" si="10"/>
        <v>5.0453798659999993</v>
      </c>
      <c r="E25">
        <f t="shared" si="11"/>
        <v>3.0888155689999999</v>
      </c>
      <c r="F25">
        <f>F6</f>
        <v>23.65148078</v>
      </c>
      <c r="G25">
        <f t="shared" si="13"/>
        <v>2045</v>
      </c>
      <c r="H25">
        <f t="shared" si="12"/>
        <v>31.785676214999999</v>
      </c>
      <c r="L25">
        <v>2025</v>
      </c>
      <c r="M25">
        <f>J12</f>
        <v>92.943242108999996</v>
      </c>
      <c r="N25">
        <f>H21</f>
        <v>123.453854779</v>
      </c>
      <c r="O25">
        <f>F31</f>
        <v>100.90358971000001</v>
      </c>
      <c r="P25">
        <f>I40</f>
        <v>141.81847890330485</v>
      </c>
    </row>
    <row r="26" spans="1:16" x14ac:dyDescent="0.35">
      <c r="B26">
        <f t="shared" si="8"/>
        <v>0</v>
      </c>
      <c r="C26">
        <f t="shared" si="9"/>
        <v>0</v>
      </c>
      <c r="D26">
        <f t="shared" si="10"/>
        <v>0</v>
      </c>
      <c r="E26">
        <f t="shared" si="11"/>
        <v>3.0888155689999999</v>
      </c>
      <c r="F26">
        <f>F7</f>
        <v>15.3581044</v>
      </c>
      <c r="G26">
        <f t="shared" si="13"/>
        <v>2050</v>
      </c>
      <c r="H26">
        <f t="shared" si="12"/>
        <v>18.446919969</v>
      </c>
      <c r="L26">
        <v>2030</v>
      </c>
      <c r="M26">
        <f t="shared" ref="M26:M30" si="14">J13</f>
        <v>76.639427022999996</v>
      </c>
      <c r="N26">
        <f t="shared" ref="N26:N30" si="15">H22</f>
        <v>103.18213314299999</v>
      </c>
      <c r="O26">
        <f t="shared" ref="O26:O30" si="16">F32</f>
        <v>80.398414239999994</v>
      </c>
      <c r="P26">
        <f t="shared" ref="P26:P30" si="17">I41</f>
        <v>104.42026947401155</v>
      </c>
    </row>
    <row r="27" spans="1:16" x14ac:dyDescent="0.35">
      <c r="L27">
        <v>2035</v>
      </c>
      <c r="M27">
        <f t="shared" si="14"/>
        <v>62.651758525000005</v>
      </c>
      <c r="N27">
        <f t="shared" si="15"/>
        <v>79.383314169022356</v>
      </c>
      <c r="O27">
        <f t="shared" si="16"/>
        <v>61.687087259999998</v>
      </c>
      <c r="P27">
        <f t="shared" si="17"/>
        <v>75.990550937237359</v>
      </c>
    </row>
    <row r="28" spans="1:16" x14ac:dyDescent="0.35">
      <c r="L28">
        <v>2040</v>
      </c>
      <c r="M28">
        <f t="shared" si="14"/>
        <v>48.880129030000006</v>
      </c>
      <c r="N28">
        <f t="shared" si="15"/>
        <v>55.584495193011179</v>
      </c>
      <c r="O28">
        <f t="shared" si="16"/>
        <v>42.975760269999995</v>
      </c>
      <c r="P28">
        <f t="shared" si="17"/>
        <v>48.842858722741852</v>
      </c>
    </row>
    <row r="29" spans="1:16" x14ac:dyDescent="0.35">
      <c r="A29" t="s">
        <v>30</v>
      </c>
      <c r="F29" t="s">
        <v>30</v>
      </c>
      <c r="L29">
        <v>2045</v>
      </c>
      <c r="M29">
        <f t="shared" si="14"/>
        <v>35.108499557000002</v>
      </c>
      <c r="N29">
        <f t="shared" si="15"/>
        <v>31.785676214999999</v>
      </c>
      <c r="O29">
        <f t="shared" si="16"/>
        <v>24.264433294</v>
      </c>
      <c r="P29">
        <f t="shared" si="17"/>
        <v>21.695166503246355</v>
      </c>
    </row>
    <row r="30" spans="1:16" x14ac:dyDescent="0.35">
      <c r="B30" t="s">
        <v>18</v>
      </c>
      <c r="C30" t="s">
        <v>19</v>
      </c>
      <c r="D30" t="s">
        <v>23</v>
      </c>
      <c r="E30" t="s">
        <v>38</v>
      </c>
      <c r="F30" t="s">
        <v>39</v>
      </c>
      <c r="L30">
        <v>2050</v>
      </c>
      <c r="M30">
        <f t="shared" si="14"/>
        <v>21.336870075</v>
      </c>
      <c r="N30">
        <f t="shared" si="15"/>
        <v>18.446919969</v>
      </c>
      <c r="O30">
        <f t="shared" si="16"/>
        <v>5.5531063129999998</v>
      </c>
      <c r="P30">
        <f t="shared" si="17"/>
        <v>14.193254858945064</v>
      </c>
    </row>
    <row r="31" spans="1:16" x14ac:dyDescent="0.35">
      <c r="B31">
        <f t="shared" ref="B31:C36" si="18">M2</f>
        <v>19.435872100000001</v>
      </c>
      <c r="C31">
        <f t="shared" si="18"/>
        <v>38.36983206</v>
      </c>
      <c r="D31">
        <f t="shared" ref="D31:D36" si="19">R2</f>
        <v>43.097885550000001</v>
      </c>
      <c r="E31">
        <v>2025</v>
      </c>
      <c r="F31">
        <f>SUM(B31:D31)</f>
        <v>100.90358971000001</v>
      </c>
    </row>
    <row r="32" spans="1:16" x14ac:dyDescent="0.35">
      <c r="B32">
        <f t="shared" si="18"/>
        <v>16.659318939999999</v>
      </c>
      <c r="C32">
        <f t="shared" si="18"/>
        <v>30.695865649999998</v>
      </c>
      <c r="D32">
        <f t="shared" si="19"/>
        <v>33.043229650000001</v>
      </c>
      <c r="E32">
        <f>E31+5</f>
        <v>2030</v>
      </c>
      <c r="F32">
        <f t="shared" ref="F31:F36" si="20">SUM(B32:D32)</f>
        <v>80.398414239999994</v>
      </c>
    </row>
    <row r="33" spans="1:13" x14ac:dyDescent="0.35">
      <c r="B33">
        <f t="shared" si="18"/>
        <v>13.88276578</v>
      </c>
      <c r="C33">
        <f t="shared" si="18"/>
        <v>23.02189924</v>
      </c>
      <c r="D33">
        <f t="shared" si="19"/>
        <v>24.782422239999999</v>
      </c>
      <c r="E33">
        <f t="shared" ref="E33:E36" si="21">E32+5</f>
        <v>2035</v>
      </c>
      <c r="F33">
        <f t="shared" si="20"/>
        <v>61.687087259999998</v>
      </c>
      <c r="L33">
        <v>2025</v>
      </c>
      <c r="M33">
        <v>242.72206861330486</v>
      </c>
    </row>
    <row r="34" spans="1:13" x14ac:dyDescent="0.35">
      <c r="B34">
        <f t="shared" si="18"/>
        <v>11.10621263</v>
      </c>
      <c r="C34">
        <f t="shared" si="18"/>
        <v>15.34793282</v>
      </c>
      <c r="D34">
        <f t="shared" si="19"/>
        <v>16.52161482</v>
      </c>
      <c r="E34">
        <f t="shared" si="21"/>
        <v>2040</v>
      </c>
      <c r="F34">
        <f t="shared" si="20"/>
        <v>42.975760269999995</v>
      </c>
      <c r="L34">
        <v>2030</v>
      </c>
      <c r="M34">
        <v>184.81868371401154</v>
      </c>
    </row>
    <row r="35" spans="1:13" x14ac:dyDescent="0.35">
      <c r="B35">
        <f t="shared" si="18"/>
        <v>8.3296594699999993</v>
      </c>
      <c r="C35">
        <f t="shared" si="18"/>
        <v>7.6739664120000004</v>
      </c>
      <c r="D35">
        <f t="shared" si="19"/>
        <v>8.2608074120000001</v>
      </c>
      <c r="E35">
        <f t="shared" si="21"/>
        <v>2045</v>
      </c>
      <c r="F35">
        <f t="shared" si="20"/>
        <v>24.264433294</v>
      </c>
      <c r="L35">
        <v>2035</v>
      </c>
      <c r="M35">
        <v>137.67763819723734</v>
      </c>
    </row>
    <row r="36" spans="1:13" x14ac:dyDescent="0.35">
      <c r="B36">
        <f t="shared" si="18"/>
        <v>5.5531063129999998</v>
      </c>
      <c r="C36">
        <f t="shared" si="18"/>
        <v>0</v>
      </c>
      <c r="D36">
        <f t="shared" si="19"/>
        <v>0</v>
      </c>
      <c r="E36">
        <f t="shared" si="21"/>
        <v>2050</v>
      </c>
      <c r="F36">
        <f t="shared" si="20"/>
        <v>5.5531063129999998</v>
      </c>
      <c r="L36">
        <v>2040</v>
      </c>
      <c r="M36">
        <v>91.818618992741847</v>
      </c>
    </row>
    <row r="37" spans="1:13" x14ac:dyDescent="0.35">
      <c r="L37">
        <v>2045</v>
      </c>
      <c r="M37">
        <v>45.959599797246355</v>
      </c>
    </row>
    <row r="38" spans="1:13" x14ac:dyDescent="0.35">
      <c r="A38" t="s">
        <v>35</v>
      </c>
      <c r="I38" t="s">
        <v>32</v>
      </c>
      <c r="L38">
        <v>2050</v>
      </c>
      <c r="M38">
        <v>19.746361171945065</v>
      </c>
    </row>
    <row r="39" spans="1:13" x14ac:dyDescent="0.35">
      <c r="B39" t="s">
        <v>27</v>
      </c>
      <c r="C39" t="s">
        <v>11</v>
      </c>
      <c r="D39" t="s">
        <v>41</v>
      </c>
      <c r="E39" t="s">
        <v>13</v>
      </c>
      <c r="F39" t="s">
        <v>17</v>
      </c>
      <c r="G39" t="s">
        <v>26</v>
      </c>
      <c r="H39" t="s">
        <v>38</v>
      </c>
      <c r="I39" t="s">
        <v>39</v>
      </c>
    </row>
    <row r="40" spans="1:13" x14ac:dyDescent="0.35">
      <c r="B40">
        <f t="shared" ref="B40:B45" si="22">V2</f>
        <v>78.309267217295968</v>
      </c>
      <c r="C40">
        <f t="shared" ref="C40:C45" si="23">G2</f>
        <v>9.1480616990088706</v>
      </c>
      <c r="D40">
        <f t="shared" ref="D40:D45" si="24">B2</f>
        <v>16.85139779</v>
      </c>
      <c r="E40">
        <f t="shared" ref="E40:E45" si="25">I2</f>
        <v>11.13592036</v>
      </c>
      <c r="F40">
        <f t="shared" ref="F40:F45" si="26">L2</f>
        <v>7.3375898069999996</v>
      </c>
      <c r="G40">
        <f>U2</f>
        <v>19.03624203</v>
      </c>
      <c r="H40">
        <v>2025</v>
      </c>
      <c r="I40">
        <f>SUM(B40:G40)</f>
        <v>141.81847890330485</v>
      </c>
    </row>
    <row r="41" spans="1:13" x14ac:dyDescent="0.35">
      <c r="B41">
        <f t="shared" si="22"/>
        <v>58.937341716582644</v>
      </c>
      <c r="C41">
        <f t="shared" si="23"/>
        <v>6.8854382884289009</v>
      </c>
      <c r="D41">
        <f t="shared" si="24"/>
        <v>10.747482209999999</v>
      </c>
      <c r="E41">
        <f t="shared" si="25"/>
        <v>8.9240004339999999</v>
      </c>
      <c r="F41">
        <f t="shared" si="26"/>
        <v>5.870071845</v>
      </c>
      <c r="G41">
        <f t="shared" ref="G41:G45" si="27">U3</f>
        <v>13.05593498</v>
      </c>
      <c r="H41">
        <f>H40+5</f>
        <v>2030</v>
      </c>
      <c r="I41">
        <f t="shared" ref="I41:I45" si="28">SUM(B41:G41)</f>
        <v>104.42026947401155</v>
      </c>
    </row>
    <row r="42" spans="1:13" x14ac:dyDescent="0.35">
      <c r="B42">
        <f t="shared" si="22"/>
        <v>39.291561144388425</v>
      </c>
      <c r="C42">
        <f t="shared" si="23"/>
        <v>4.6228148778489304</v>
      </c>
      <c r="D42">
        <f t="shared" si="24"/>
        <v>8.3048726169999991</v>
      </c>
      <c r="E42">
        <f t="shared" si="25"/>
        <v>8.9240004339999999</v>
      </c>
      <c r="F42">
        <f t="shared" si="26"/>
        <v>4.4025538839999996</v>
      </c>
      <c r="G42">
        <f t="shared" si="27"/>
        <v>10.444747980000001</v>
      </c>
      <c r="H42">
        <f t="shared" ref="H42:H45" si="29">H41+5</f>
        <v>2035</v>
      </c>
      <c r="I42">
        <f t="shared" si="28"/>
        <v>75.990550937237359</v>
      </c>
    </row>
    <row r="43" spans="1:13" x14ac:dyDescent="0.35">
      <c r="B43">
        <f t="shared" si="22"/>
        <v>19.645780572194209</v>
      </c>
      <c r="C43">
        <f t="shared" si="23"/>
        <v>3.6422177825476418</v>
      </c>
      <c r="D43">
        <f t="shared" si="24"/>
        <v>5.8622630239999998</v>
      </c>
      <c r="E43">
        <f t="shared" si="25"/>
        <v>8.9240004339999999</v>
      </c>
      <c r="F43">
        <f t="shared" si="26"/>
        <v>2.935035923</v>
      </c>
      <c r="G43">
        <f t="shared" si="27"/>
        <v>7.8335609870000003</v>
      </c>
      <c r="H43">
        <f t="shared" si="29"/>
        <v>2040</v>
      </c>
      <c r="I43">
        <f t="shared" si="28"/>
        <v>48.842858722741852</v>
      </c>
    </row>
    <row r="44" spans="1:13" x14ac:dyDescent="0.35">
      <c r="B44">
        <f t="shared" si="22"/>
        <v>0</v>
      </c>
      <c r="C44">
        <f t="shared" si="23"/>
        <v>2.6616206872463533</v>
      </c>
      <c r="D44">
        <f t="shared" si="24"/>
        <v>3.4196534299999999</v>
      </c>
      <c r="E44">
        <f t="shared" si="25"/>
        <v>8.9240004339999999</v>
      </c>
      <c r="F44">
        <f t="shared" si="26"/>
        <v>1.467517961</v>
      </c>
      <c r="G44">
        <f t="shared" si="27"/>
        <v>5.2223739910000004</v>
      </c>
      <c r="H44">
        <f t="shared" si="29"/>
        <v>2045</v>
      </c>
      <c r="I44">
        <f t="shared" si="28"/>
        <v>21.695166503246355</v>
      </c>
    </row>
    <row r="45" spans="1:13" x14ac:dyDescent="0.35">
      <c r="B45">
        <f t="shared" si="22"/>
        <v>0</v>
      </c>
      <c r="C45">
        <f t="shared" si="23"/>
        <v>1.6810235919450651</v>
      </c>
      <c r="D45">
        <f t="shared" si="24"/>
        <v>0.97704383699999997</v>
      </c>
      <c r="E45">
        <f t="shared" si="25"/>
        <v>8.9240004339999999</v>
      </c>
      <c r="F45">
        <f t="shared" si="26"/>
        <v>0</v>
      </c>
      <c r="G45">
        <f t="shared" si="27"/>
        <v>2.6111869959999998</v>
      </c>
      <c r="H45">
        <f t="shared" si="29"/>
        <v>2050</v>
      </c>
      <c r="I45">
        <f t="shared" si="28"/>
        <v>14.193254858945064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</vt:lpstr>
      <vt:lpstr>Regional</vt:lpstr>
      <vt:lpstr>RPO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Loughlin</dc:creator>
  <cp:lastModifiedBy>Dan Loughlin</cp:lastModifiedBy>
  <dcterms:created xsi:type="dcterms:W3CDTF">2023-01-30T10:47:07Z</dcterms:created>
  <dcterms:modified xsi:type="dcterms:W3CDTF">2023-02-27T13:29:50Z</dcterms:modified>
</cp:coreProperties>
</file>