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\Contrib\AirPollutants\xml\"/>
    </mc:Choice>
  </mc:AlternateContent>
  <xr:revisionPtr revIDLastSave="0" documentId="13_ncr:1_{3BA46542-3325-4E26-B99C-E3D4FD871137}" xr6:coauthVersionLast="47" xr6:coauthVersionMax="47" xr10:uidLastSave="{00000000-0000-0000-0000-000000000000}"/>
  <bookViews>
    <workbookView xWindow="19700" yWindow="200" windowWidth="16960" windowHeight="11610" xr2:uid="{73BA7DF1-9A1D-41D0-8FEA-A8B1AAA2E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G10" i="1"/>
  <c r="H10" i="1"/>
  <c r="I10" i="1"/>
  <c r="I9" i="1"/>
  <c r="H9" i="1"/>
  <c r="G9" i="1"/>
  <c r="G8" i="1"/>
  <c r="H8" i="1"/>
  <c r="I8" i="1"/>
  <c r="I7" i="1"/>
  <c r="H7" i="1"/>
  <c r="G7" i="1"/>
  <c r="G6" i="1"/>
  <c r="H6" i="1"/>
  <c r="I6" i="1"/>
  <c r="I5" i="1"/>
  <c r="H5" i="1"/>
  <c r="G5" i="1"/>
  <c r="G4" i="1"/>
  <c r="H4" i="1"/>
  <c r="I4" i="1"/>
  <c r="I3" i="1"/>
  <c r="H3" i="1"/>
  <c r="G3" i="1"/>
  <c r="B14" i="1"/>
  <c r="B13" i="1"/>
</calcChain>
</file>

<file path=xl/sharedStrings.xml><?xml version="1.0" encoding="utf-8"?>
<sst xmlns="http://schemas.openxmlformats.org/spreadsheetml/2006/main" count="37" uniqueCount="23">
  <si>
    <t>conv pul</t>
  </si>
  <si>
    <t>SO2</t>
  </si>
  <si>
    <t>NOx</t>
  </si>
  <si>
    <t>conv bio</t>
  </si>
  <si>
    <t>PM</t>
  </si>
  <si>
    <t>conv pul-CCS</t>
  </si>
  <si>
    <t>conv bio-CCS</t>
  </si>
  <si>
    <t>igcc</t>
  </si>
  <si>
    <t>igcc-ccs</t>
  </si>
  <si>
    <t>ngcc</t>
  </si>
  <si>
    <t>ngcc-ccs</t>
  </si>
  <si>
    <t>lb/MWh</t>
  </si>
  <si>
    <t xml:space="preserve">1 lb = </t>
  </si>
  <si>
    <t>Tg</t>
  </si>
  <si>
    <t xml:space="preserve">1 MWh = </t>
  </si>
  <si>
    <t>EJ</t>
  </si>
  <si>
    <t>Tg/Ejout</t>
  </si>
  <si>
    <t>Eff</t>
  </si>
  <si>
    <t>Ejout/Ejin</t>
  </si>
  <si>
    <t>Tg/Ejin</t>
  </si>
  <si>
    <t xml:space="preserve">Efs are from two documents: </t>
  </si>
  <si>
    <t>T. Schmitt, S. Leptinsky, M. Turner, A. Zoelle, M. Woods, T. Shultz, and R. James “Fossil Energy Baseline Revision 4a," National Energy Technology Laboratory, Pittsburgh, October 14, 2022.</t>
  </si>
  <si>
    <t>Buchheit, Kyle L., Lewis, Eric, Mahbubani, Kishore, and Carlson, Derrick R.. Technoeconomic and Life Cycle Analysis for Bio-Energy with Carbon Capture and Storage (BECCS) Baseline. United States: N. p., 2021. Web. doi:10.2172/1810056.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</si>
</sst>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4C4F-41B3-44C6-8DA4-E2D748FA31BD}">
  <dimension ref="A1:M19"/>
  <sheetViews>
    <sheetView tabSelected="1" topLeftCell="A4" workbookViewId="0">
      <selection activeCell="K16" sqref="K16"/>
    </sheetView>
  </sheetViews>
  <sheetFormatPr defaultRowHeight="14.5" x14ac:dyDescent="0.35"/>
  <cols>
    <col min="1" max="1" width="18.54296875" customWidth="1"/>
    <col min="2" max="2" width="9.81640625" bestFit="1" customWidth="1"/>
    <col min="6" max="6" width="14.7265625" customWidth="1"/>
  </cols>
  <sheetData>
    <row r="1" spans="1:13" x14ac:dyDescent="0.35">
      <c r="A1" t="s">
        <v>11</v>
      </c>
      <c r="G1" t="s">
        <v>16</v>
      </c>
      <c r="J1" t="s">
        <v>17</v>
      </c>
      <c r="K1" t="s">
        <v>19</v>
      </c>
    </row>
    <row r="2" spans="1:13" x14ac:dyDescent="0.35">
      <c r="B2" t="s">
        <v>1</v>
      </c>
      <c r="C2" t="s">
        <v>2</v>
      </c>
      <c r="D2" t="s">
        <v>4</v>
      </c>
      <c r="G2" t="s">
        <v>1</v>
      </c>
      <c r="H2" t="s">
        <v>2</v>
      </c>
      <c r="I2" t="s">
        <v>4</v>
      </c>
      <c r="J2" t="s">
        <v>18</v>
      </c>
      <c r="K2" t="s">
        <v>1</v>
      </c>
      <c r="L2" t="s">
        <v>2</v>
      </c>
      <c r="M2" t="s">
        <v>4</v>
      </c>
    </row>
    <row r="3" spans="1:13" x14ac:dyDescent="0.35">
      <c r="A3" t="s">
        <v>0</v>
      </c>
      <c r="B3">
        <v>0.64800000000000002</v>
      </c>
      <c r="C3">
        <v>0.7</v>
      </c>
      <c r="D3">
        <v>0.09</v>
      </c>
      <c r="F3" t="s">
        <v>0</v>
      </c>
      <c r="G3" s="3">
        <f t="shared" ref="G3:I10" si="0">B3*$B$13/$B$14</f>
        <v>8.1647999771385597E-3</v>
      </c>
      <c r="H3" s="3">
        <f t="shared" si="0"/>
        <v>8.8199999753039993E-3</v>
      </c>
      <c r="I3" s="1">
        <f t="shared" si="0"/>
        <v>1.1339999968247999E-3</v>
      </c>
      <c r="J3">
        <v>0.39700000000000002</v>
      </c>
      <c r="K3" s="3">
        <f>G3/$J3</f>
        <v>2.0566246793799897E-2</v>
      </c>
      <c r="L3" s="3">
        <f t="shared" ref="L3:L10" si="1">H3/$J3</f>
        <v>2.2216624622931988E-2</v>
      </c>
      <c r="M3" s="3">
        <f t="shared" ref="M3:M10" si="2">I3/$J3</f>
        <v>2.856423165805541E-3</v>
      </c>
    </row>
    <row r="4" spans="1:13" x14ac:dyDescent="0.35">
      <c r="A4" t="s">
        <v>5</v>
      </c>
      <c r="B4">
        <v>0</v>
      </c>
      <c r="C4">
        <v>0.7</v>
      </c>
      <c r="D4">
        <v>0.09</v>
      </c>
      <c r="F4" t="s">
        <v>5</v>
      </c>
      <c r="G4" s="3">
        <f t="shared" si="0"/>
        <v>0</v>
      </c>
      <c r="H4" s="3">
        <f t="shared" si="0"/>
        <v>8.8199999753039993E-3</v>
      </c>
      <c r="I4" s="1">
        <f t="shared" si="0"/>
        <v>1.1339999968247999E-3</v>
      </c>
      <c r="J4">
        <v>0.29199999999999998</v>
      </c>
      <c r="K4" s="3">
        <f t="shared" ref="K4:K10" si="3">G4/$J4</f>
        <v>0</v>
      </c>
      <c r="L4" s="3">
        <f t="shared" si="1"/>
        <v>3.020547936747945E-2</v>
      </c>
      <c r="M4" s="3">
        <f t="shared" si="2"/>
        <v>3.8835616329616438E-3</v>
      </c>
    </row>
    <row r="5" spans="1:13" x14ac:dyDescent="0.35">
      <c r="A5" t="s">
        <v>3</v>
      </c>
      <c r="B5">
        <v>0.56899999999999995</v>
      </c>
      <c r="C5">
        <v>0.7</v>
      </c>
      <c r="D5">
        <v>0.09</v>
      </c>
      <c r="F5" t="s">
        <v>3</v>
      </c>
      <c r="G5" s="3">
        <f t="shared" si="0"/>
        <v>7.1693999799256787E-3</v>
      </c>
      <c r="H5" s="3">
        <f t="shared" si="0"/>
        <v>8.8199999753039993E-3</v>
      </c>
      <c r="I5" s="1">
        <f t="shared" si="0"/>
        <v>1.1339999968247999E-3</v>
      </c>
      <c r="J5">
        <v>0.26600000000000001</v>
      </c>
      <c r="K5" s="3">
        <f t="shared" si="3"/>
        <v>2.6952631503479995E-2</v>
      </c>
      <c r="L5" s="3">
        <f t="shared" si="1"/>
        <v>3.3157894643999992E-2</v>
      </c>
      <c r="M5" s="3">
        <f t="shared" si="2"/>
        <v>4.2631578827999998E-3</v>
      </c>
    </row>
    <row r="6" spans="1:13" x14ac:dyDescent="0.35">
      <c r="A6" t="s">
        <v>6</v>
      </c>
      <c r="B6">
        <v>0</v>
      </c>
      <c r="C6">
        <v>0.7</v>
      </c>
      <c r="D6">
        <v>0.09</v>
      </c>
      <c r="F6" t="s">
        <v>6</v>
      </c>
      <c r="G6" s="3">
        <f t="shared" si="0"/>
        <v>0</v>
      </c>
      <c r="H6" s="3">
        <f t="shared" si="0"/>
        <v>8.8199999753039993E-3</v>
      </c>
      <c r="I6" s="1">
        <f t="shared" si="0"/>
        <v>1.1339999968247999E-3</v>
      </c>
      <c r="J6">
        <v>0.19600000000000001</v>
      </c>
      <c r="K6" s="3">
        <f t="shared" si="3"/>
        <v>0</v>
      </c>
      <c r="L6" s="3">
        <f t="shared" si="1"/>
        <v>4.4999999873999996E-2</v>
      </c>
      <c r="M6" s="3">
        <f t="shared" si="2"/>
        <v>5.785714269514285E-3</v>
      </c>
    </row>
    <row r="7" spans="1:13" x14ac:dyDescent="0.35">
      <c r="A7" t="s">
        <v>7</v>
      </c>
      <c r="B7">
        <v>0.13</v>
      </c>
      <c r="C7">
        <v>0.39</v>
      </c>
      <c r="D7">
        <v>4.7E-2</v>
      </c>
      <c r="F7" t="s">
        <v>7</v>
      </c>
      <c r="G7" s="3">
        <f t="shared" si="0"/>
        <v>1.6379999954135999E-3</v>
      </c>
      <c r="H7" s="3">
        <f t="shared" si="0"/>
        <v>4.9139999862407996E-3</v>
      </c>
      <c r="I7" s="1">
        <f t="shared" si="0"/>
        <v>5.9219999834184004E-4</v>
      </c>
      <c r="J7">
        <v>0.40699999999999997</v>
      </c>
      <c r="K7" s="3">
        <f t="shared" si="3"/>
        <v>4.0245700133012281E-3</v>
      </c>
      <c r="L7" s="3">
        <f t="shared" si="1"/>
        <v>1.2073710039903686E-2</v>
      </c>
      <c r="M7" s="3">
        <f t="shared" si="2"/>
        <v>1.4550368509627521E-3</v>
      </c>
    </row>
    <row r="8" spans="1:13" x14ac:dyDescent="0.35">
      <c r="A8" t="s">
        <v>8</v>
      </c>
      <c r="B8">
        <v>0</v>
      </c>
      <c r="C8">
        <v>0.38200000000000001</v>
      </c>
      <c r="D8">
        <v>5.6000000000000001E-2</v>
      </c>
      <c r="F8" t="s">
        <v>8</v>
      </c>
      <c r="G8" s="3">
        <f t="shared" si="0"/>
        <v>0</v>
      </c>
      <c r="H8" s="3">
        <f t="shared" si="0"/>
        <v>4.8131999865230401E-3</v>
      </c>
      <c r="I8" s="1">
        <f t="shared" si="0"/>
        <v>7.0559999802431998E-4</v>
      </c>
      <c r="J8">
        <v>0.33400000000000002</v>
      </c>
      <c r="K8" s="3">
        <f t="shared" si="3"/>
        <v>0</v>
      </c>
      <c r="L8" s="3">
        <f t="shared" si="1"/>
        <v>1.4410778402763592E-2</v>
      </c>
      <c r="M8" s="3">
        <f t="shared" si="2"/>
        <v>2.1125748443841913E-3</v>
      </c>
    </row>
    <row r="9" spans="1:13" x14ac:dyDescent="0.35">
      <c r="A9" t="s">
        <v>9</v>
      </c>
      <c r="B9">
        <v>6.0000000000000001E-3</v>
      </c>
      <c r="C9">
        <v>2.1999999999999999E-2</v>
      </c>
      <c r="D9">
        <v>1.2E-2</v>
      </c>
      <c r="F9" t="s">
        <v>9</v>
      </c>
      <c r="G9" s="3">
        <f t="shared" si="0"/>
        <v>7.559999978832001E-5</v>
      </c>
      <c r="H9" s="3">
        <f t="shared" si="0"/>
        <v>2.7719999922383996E-4</v>
      </c>
      <c r="I9" s="1">
        <f t="shared" si="0"/>
        <v>1.5119999957664002E-4</v>
      </c>
      <c r="J9">
        <v>0.56499999999999995</v>
      </c>
      <c r="K9" s="3">
        <f t="shared" si="3"/>
        <v>1.3380530935985845E-4</v>
      </c>
      <c r="L9" s="3">
        <f t="shared" si="1"/>
        <v>4.9061946765281412E-4</v>
      </c>
      <c r="M9" s="1">
        <f t="shared" si="2"/>
        <v>2.6761061871971689E-4</v>
      </c>
    </row>
    <row r="10" spans="1:13" x14ac:dyDescent="0.35">
      <c r="A10" t="s">
        <v>10</v>
      </c>
      <c r="B10">
        <v>0</v>
      </c>
      <c r="C10">
        <v>2.1999999999999999E-2</v>
      </c>
      <c r="D10">
        <v>0</v>
      </c>
      <c r="F10" t="s">
        <v>10</v>
      </c>
      <c r="G10" s="3">
        <f t="shared" si="0"/>
        <v>0</v>
      </c>
      <c r="H10" s="3">
        <f t="shared" si="0"/>
        <v>2.7719999922383996E-4</v>
      </c>
      <c r="I10" s="1">
        <f t="shared" si="0"/>
        <v>0</v>
      </c>
      <c r="J10">
        <v>0.46500000000000002</v>
      </c>
      <c r="K10" s="3">
        <f t="shared" si="3"/>
        <v>0</v>
      </c>
      <c r="L10" s="3">
        <f t="shared" si="1"/>
        <v>5.9612903058890309E-4</v>
      </c>
      <c r="M10" s="1">
        <f t="shared" si="2"/>
        <v>0</v>
      </c>
    </row>
    <row r="13" spans="1:13" x14ac:dyDescent="0.35">
      <c r="A13" t="s">
        <v>12</v>
      </c>
      <c r="B13">
        <f>0.00000000004536</f>
        <v>4.5359999999999999E-11</v>
      </c>
      <c r="C13" t="s">
        <v>13</v>
      </c>
    </row>
    <row r="14" spans="1:13" x14ac:dyDescent="0.35">
      <c r="A14" t="s">
        <v>14</v>
      </c>
      <c r="B14" s="1">
        <f>1/277777777</f>
        <v>3.6000000100800002E-9</v>
      </c>
      <c r="C14" t="s">
        <v>15</v>
      </c>
    </row>
    <row r="17" spans="1:1" x14ac:dyDescent="0.35">
      <c r="A17" t="s">
        <v>20</v>
      </c>
    </row>
    <row r="18" spans="1:1" x14ac:dyDescent="0.35">
      <c r="A18" s="2" t="s">
        <v>21</v>
      </c>
    </row>
    <row r="19" spans="1:1" x14ac:dyDescent="0.35">
      <c r="A19" s="2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2023-02-24T12:28:07Z</dcterms:created>
  <dcterms:modified xsi:type="dcterms:W3CDTF">2023-02-24T16:35:33Z</dcterms:modified>
</cp:coreProperties>
</file>